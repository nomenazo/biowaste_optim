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5DEBD858-6FE0-4CD3-AA71-B7B22AB89C52}" xr6:coauthVersionLast="36" xr6:coauthVersionMax="36" xr10:uidLastSave="{00000000-0000-0000-0000-000000000000}"/>
  <bookViews>
    <workbookView xWindow="0" yWindow="0" windowWidth="19200" windowHeight="6640" activeTab="6" xr2:uid="{D1DA9D51-73AD-475A-9BA4-9259CC4D49A6}"/>
  </bookViews>
  <sheets>
    <sheet name="midpoint" sheetId="1" r:id="rId1"/>
    <sheet name="endpoint" sheetId="2" r:id="rId2"/>
    <sheet name="impact_mid" sheetId="3" r:id="rId3"/>
    <sheet name="impact_end" sheetId="8" r:id="rId4"/>
    <sheet name="normalized_impact_mid" sheetId="4" r:id="rId5"/>
    <sheet name="readme" sheetId="5" r:id="rId6"/>
    <sheet name="weight_mid" sheetId="6" r:id="rId7"/>
    <sheet name="weighted_impact_mid" sheetId="7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8" l="1"/>
  <c r="G3" i="8"/>
  <c r="G4" i="8"/>
  <c r="G6" i="8"/>
  <c r="G7" i="8"/>
  <c r="G8" i="8"/>
  <c r="G9" i="8"/>
  <c r="G10" i="8"/>
  <c r="G11" i="8"/>
  <c r="G12" i="8"/>
  <c r="G14" i="8"/>
  <c r="G15" i="8"/>
  <c r="G16" i="8"/>
  <c r="G17" i="8"/>
  <c r="G18" i="8"/>
  <c r="G19" i="8"/>
  <c r="G20" i="8"/>
  <c r="G22" i="8"/>
  <c r="G23" i="8"/>
  <c r="G2" i="8"/>
  <c r="G21" i="8" l="1"/>
  <c r="G13" i="8"/>
  <c r="G5" i="8"/>
  <c r="D4" i="4" l="1"/>
  <c r="D4" i="7" s="1"/>
  <c r="D5" i="4"/>
  <c r="D5" i="7" s="1"/>
  <c r="D6" i="4"/>
  <c r="D6" i="7" s="1"/>
  <c r="D7" i="4"/>
  <c r="D7" i="7" s="1"/>
  <c r="D8" i="4"/>
  <c r="D8" i="7" s="1"/>
  <c r="D9" i="4"/>
  <c r="D9" i="7" s="1"/>
  <c r="D10" i="4"/>
  <c r="D10" i="7" s="1"/>
  <c r="D11" i="4"/>
  <c r="D11" i="7" s="1"/>
  <c r="D12" i="4"/>
  <c r="D12" i="7" s="1"/>
  <c r="D13" i="4"/>
  <c r="D13" i="7" s="1"/>
  <c r="D14" i="4"/>
  <c r="D14" i="7" s="1"/>
  <c r="D15" i="4"/>
  <c r="D15" i="7" s="1"/>
  <c r="D16" i="4"/>
  <c r="D16" i="7" s="1"/>
  <c r="D17" i="4"/>
  <c r="D17" i="7" s="1"/>
  <c r="D18" i="4"/>
  <c r="D18" i="7" s="1"/>
  <c r="D19" i="4"/>
  <c r="D19" i="7" s="1"/>
  <c r="D20" i="4"/>
  <c r="D20" i="7" s="1"/>
  <c r="D3" i="4"/>
  <c r="D3" i="7" s="1"/>
  <c r="C4" i="4"/>
  <c r="C4" i="7" s="1"/>
  <c r="C5" i="4"/>
  <c r="C5" i="7" s="1"/>
  <c r="C6" i="4"/>
  <c r="C6" i="7" s="1"/>
  <c r="C7" i="4"/>
  <c r="C7" i="7" s="1"/>
  <c r="C8" i="4"/>
  <c r="C8" i="7" s="1"/>
  <c r="C9" i="4"/>
  <c r="C9" i="7" s="1"/>
  <c r="C10" i="4"/>
  <c r="C10" i="7" s="1"/>
  <c r="C11" i="4"/>
  <c r="C11" i="7" s="1"/>
  <c r="C12" i="4"/>
  <c r="C12" i="7" s="1"/>
  <c r="C13" i="4"/>
  <c r="C13" i="7" s="1"/>
  <c r="C14" i="4"/>
  <c r="C14" i="7" s="1"/>
  <c r="C15" i="4"/>
  <c r="C15" i="7" s="1"/>
  <c r="C16" i="4"/>
  <c r="C16" i="7" s="1"/>
  <c r="C17" i="4"/>
  <c r="C17" i="7" s="1"/>
  <c r="C18" i="4"/>
  <c r="C18" i="7" s="1"/>
  <c r="C19" i="4"/>
  <c r="C19" i="7" s="1"/>
  <c r="C20" i="4"/>
  <c r="C20" i="7" s="1"/>
  <c r="C3" i="4"/>
  <c r="C3" i="7" s="1"/>
  <c r="B21" i="6"/>
  <c r="D22" i="4" l="1"/>
  <c r="D22" i="7"/>
  <c r="C22" i="4"/>
  <c r="C22" i="7"/>
  <c r="G25" i="8" l="1"/>
  <c r="G24" i="8" l="1"/>
  <c r="G5" i="3" l="1"/>
  <c r="G13" i="3"/>
  <c r="G4" i="3"/>
  <c r="G9" i="3"/>
  <c r="G11" i="3"/>
  <c r="G6" i="3"/>
  <c r="G14" i="3"/>
  <c r="G3" i="3"/>
  <c r="G7" i="3"/>
  <c r="G15" i="3"/>
  <c r="G8" i="3"/>
  <c r="G16" i="3"/>
  <c r="G17" i="3"/>
  <c r="G20" i="3"/>
  <c r="G10" i="3"/>
  <c r="G18" i="3"/>
  <c r="G19" i="3"/>
  <c r="G12" i="3"/>
</calcChain>
</file>

<file path=xl/sharedStrings.xml><?xml version="1.0" encoding="utf-8"?>
<sst xmlns="http://schemas.openxmlformats.org/spreadsheetml/2006/main" count="350" uniqueCount="125">
  <si>
    <t>Impact category</t>
  </si>
  <si>
    <t>Reference unit</t>
  </si>
  <si>
    <t>acidification: terrestrial - terrestrial acidification potential (TAP)</t>
  </si>
  <si>
    <t>kg SO2-Eq</t>
  </si>
  <si>
    <t>climate change - global warming potential (GWP100)</t>
  </si>
  <si>
    <t>kg CO2-Eq</t>
  </si>
  <si>
    <t>ecotoxicity: freshwater - freshwater ecotoxicity potential (FETP)</t>
  </si>
  <si>
    <t>kg 1,4-DCB-Eq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</si>
  <si>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</si>
  <si>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</si>
  <si>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</si>
  <si>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kg oil-Eq</t>
  </si>
  <si>
    <t>eutrophication: freshwater - freshwater eutrophication potential (FEP)</t>
  </si>
  <si>
    <t>kg P-Eq</t>
  </si>
  <si>
    <t>eutrophication: marine - marine eutrophication potential (MEP)</t>
  </si>
  <si>
    <t>kg N-Eq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</si>
  <si>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</si>
  <si>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</si>
  <si>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</si>
  <si>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kBq Co-60-Eq</t>
  </si>
  <si>
    <t>land use - agricultural land occupation (LOP)</t>
  </si>
  <si>
    <t>m2*a crop-Eq</t>
  </si>
  <si>
    <t>material resources: metals/minerals - surplus ore potential (SOP)</t>
  </si>
  <si>
    <t>kg Cu-Eq</t>
  </si>
  <si>
    <t>ozone depletion - ozone depletion potential (ODPinfinite)</t>
  </si>
  <si>
    <t>kg CFC-11-Eq</t>
  </si>
  <si>
    <t>particulate matter formation - particulate matter formation potential (PMFP)</t>
  </si>
  <si>
    <t>kg PM2.5-Eq</t>
  </si>
  <si>
    <t>photochemical oxidant formation: human health - photochemical oxidant formation potential: humans (HOFP)</t>
  </si>
  <si>
    <t>kg NOx-Eq</t>
  </si>
  <si>
    <t>photochemical oxidant formation: terrestrial ecosystems - photochemical oxidant formation potential: ecosystems (EOFP)</t>
  </si>
  <si>
    <t>water use - water consumption potential (WCP)</t>
  </si>
  <si>
    <t>m3</t>
  </si>
  <si>
    <t xml:space="preserve">Normalization factor per person in 2010 </t>
  </si>
  <si>
    <t>RECIPE MIDPOINT H</t>
  </si>
  <si>
    <t>Human health</t>
  </si>
  <si>
    <t>Global Warming - Human health</t>
  </si>
  <si>
    <t>Stratospheric ozone depletion - Human health</t>
  </si>
  <si>
    <t>Ionzing Radiation - Human health</t>
  </si>
  <si>
    <t>Fine particulate matter formation - Human health</t>
  </si>
  <si>
    <t>Photochemical ozone formation - Human health</t>
  </si>
  <si>
    <t>Toxicity - Human health (cancer)</t>
  </si>
  <si>
    <t>Toxicity - Human health (non-cancer)</t>
  </si>
  <si>
    <t>Water consumption - human health</t>
  </si>
  <si>
    <t>Terrestrial ecosystems</t>
  </si>
  <si>
    <t>Global Warming - Terrestrial ecosystems</t>
  </si>
  <si>
    <t>Photochemical ozone formation - Terrestrial ecosystems</t>
  </si>
  <si>
    <t>Acidification - Terrestrial ecosystems</t>
  </si>
  <si>
    <t>Toxicity - Terrestrial ecosystems</t>
  </si>
  <si>
    <t>Water consumption - terrestrial ecosystems</t>
  </si>
  <si>
    <t xml:space="preserve">Land use - occupation </t>
  </si>
  <si>
    <t>Freshwater ecosystems</t>
  </si>
  <si>
    <t>Global Warming - Freshwater ecosystems</t>
  </si>
  <si>
    <t>Eutrophication - Freshwater ecosystems</t>
  </si>
  <si>
    <t>Toxicity - Freshwater ecosystems</t>
  </si>
  <si>
    <t>Water consumption -aquatic ecosystems</t>
  </si>
  <si>
    <t>Marine ecosystems</t>
  </si>
  <si>
    <t>Toxicity - Marine ecosystems</t>
  </si>
  <si>
    <t>Eutrophication - marine ecosystems</t>
  </si>
  <si>
    <t>Resources</t>
  </si>
  <si>
    <t>Mineral resource scarcity</t>
  </si>
  <si>
    <t>Fossil resource scarcity</t>
  </si>
  <si>
    <t>DALY per person in 2010</t>
  </si>
  <si>
    <t>Species.year per person in 2010</t>
  </si>
  <si>
    <t>Species.year per person in 2011</t>
  </si>
  <si>
    <t>USD2013 per person in 2010</t>
  </si>
  <si>
    <t>Unit</t>
  </si>
  <si>
    <t>HC (per kg of waste)</t>
  </si>
  <si>
    <t>CC (per kg of waste)</t>
  </si>
  <si>
    <t>IC (per kg of waste)</t>
  </si>
  <si>
    <t>AD-a ((per kg of waste)</t>
  </si>
  <si>
    <t>AD-b (per kg of waste)</t>
  </si>
  <si>
    <t>Transport of waste by lorry (per tkm)</t>
  </si>
  <si>
    <t>Transport of digestate (per tkm)</t>
  </si>
  <si>
    <t>Transport of heat (per kWh)</t>
  </si>
  <si>
    <t>Transport of electricity (per kWh)</t>
  </si>
  <si>
    <t>Transport of compost from HC(per tkm)</t>
  </si>
  <si>
    <t>Transport of compost from CC(per tkm)</t>
  </si>
  <si>
    <t>Transport of compost from IC(per tkm)</t>
  </si>
  <si>
    <t>Market of peat</t>
  </si>
  <si>
    <t>Market of N-fertilizer</t>
  </si>
  <si>
    <t>Market of P-fertilizer</t>
  </si>
  <si>
    <t>Market of K-fertilizer</t>
  </si>
  <si>
    <t>Production of electricity</t>
  </si>
  <si>
    <t>Production of heat</t>
  </si>
  <si>
    <t>transport, freight, lorry 7.5-16 metric ton, EURO5 | transport, freight, lorry 7.5-16 metric ton, EURO5 | Cutoff, U</t>
  </si>
  <si>
    <t>Europe</t>
  </si>
  <si>
    <t>1.0 t*km</t>
  </si>
  <si>
    <t>Product System</t>
  </si>
  <si>
    <t>Location</t>
  </si>
  <si>
    <t>Amount</t>
  </si>
  <si>
    <t>Source</t>
  </si>
  <si>
    <t>Ecoinvent</t>
  </si>
  <si>
    <t>person in 2010</t>
  </si>
  <si>
    <t>Weight</t>
  </si>
  <si>
    <t>Total</t>
  </si>
  <si>
    <t>per person</t>
  </si>
  <si>
    <t>AD-a ((per t of waste)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</si>
  <si>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</si>
  <si>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</si>
  <si>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</si>
  <si>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</si>
  <si>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</si>
  <si>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</si>
  <si>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</si>
  <si>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</si>
  <si>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</si>
  <si>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</si>
  <si>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</si>
  <si>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</si>
  <si>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</si>
  <si>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</si>
  <si>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</si>
  <si>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</si>
  <si>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</si>
  <si>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</si>
  <si>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</si>
  <si>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</si>
  <si>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</si>
  <si>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</si>
  <si>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</si>
  <si>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</si>
  <si>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species.yr</t>
  </si>
  <si>
    <t>DALYs</t>
  </si>
  <si>
    <t>USD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</si>
</sst>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_-* #,##0.00_-;\-* #,##0.00_-;_-* &quot;-&quot;??_-;_-@_-"/>
    <numFmt numFmtId="165" formatCode="#,##0.0&quot; dt&quot;;[Red]#,##0.0&quot; dt&quot;"/>
    <numFmt numFmtId="166" formatCode="_ [$€-2]\ * #,##0.00_ ;_ [$€-2]\ * \-#,##0.00_ ;_ [$€-2]\ * &quot;-&quot;??_ "/>
    <numFmt numFmtId="167" formatCode="#,##0&quot; kg&quot;;[Red]#,##0&quot; kg&quot;"/>
    <numFmt numFmtId="168" formatCode="#,##0&quot; Liter&quot;;[Red]#,##0&quot; Liter&quot;"/>
    <numFmt numFmtId="169" formatCode="#,##0&quot; m2&quot;;[Red]#,##0&quot; m2&quot;"/>
    <numFmt numFmtId="170" formatCode="#,##0&quot; m2a&quot;;[Red]#,##0&quot; m2a&quot;"/>
    <numFmt numFmtId="171" formatCode="#,##0.0&quot; m3&quot;;[Red]#,##0.0&quot; m3&quot;"/>
    <numFmt numFmtId="172" formatCode="0.00E+0;[=0]&quot;0&quot;;[Red]0.00E+0"/>
    <numFmt numFmtId="173" formatCode="0.00%;[=0]&quot;0&quot;;General"/>
    <numFmt numFmtId="174" formatCode="General_)"/>
    <numFmt numFmtId="175" formatCode="0.0%;[=0]&quot;0%&quot;;0.0%"/>
    <numFmt numFmtId="176" formatCode="0.0%"/>
    <numFmt numFmtId="177" formatCode="[=0]&quot;&quot;;General"/>
    <numFmt numFmtId="178" formatCode="0.0E+0;[=0]&quot;0&quot;;0.0E+0"/>
    <numFmt numFmtId="179" formatCode="0.00E+0;[=0]&quot;0&quot;;0.00E+0"/>
    <numFmt numFmtId="180" formatCode="0.00E+0;[=0]&quot;-&quot;;0.00E+0"/>
    <numFmt numFmtId="181" formatCode="#,##0.0&quot; ZKh&quot;;[Red]#,##0.0&quot; ZKh&quot;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Times New Roman"/>
      <family val="1"/>
    </font>
    <font>
      <sz val="9"/>
      <name val="Helvetica"/>
      <family val="2"/>
    </font>
    <font>
      <b/>
      <sz val="9"/>
      <name val="Times New Roman"/>
      <family val="1"/>
    </font>
    <font>
      <sz val="10"/>
      <name val="Arial"/>
      <family val="2"/>
    </font>
    <font>
      <sz val="7"/>
      <name val="Helvetica"/>
      <family val="2"/>
    </font>
    <font>
      <sz val="9"/>
      <name val="Helv"/>
    </font>
    <font>
      <sz val="9"/>
      <name val="Arial"/>
      <family val="2"/>
    </font>
    <font>
      <b/>
      <sz val="12"/>
      <name val="Times New Roman"/>
      <family val="1"/>
    </font>
    <font>
      <u/>
      <sz val="9.9"/>
      <color indexed="12"/>
      <name val="Helv"/>
    </font>
    <font>
      <sz val="10"/>
      <name val="Helv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8"/>
      <name val="Arial"/>
      <family val="2"/>
    </font>
    <font>
      <sz val="10"/>
      <name val="Trebuchet MS"/>
      <family val="2"/>
    </font>
    <font>
      <sz val="8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835">
    <xf numFmtId="0" fontId="0" fillId="0" borderId="0"/>
    <xf numFmtId="49" fontId="7" fillId="0" borderId="2" applyNumberFormat="0" applyFont="0" applyFill="0" applyBorder="0" applyProtection="0">
      <alignment horizontal="left" vertical="center" indent="2"/>
    </xf>
    <xf numFmtId="49" fontId="7" fillId="0" borderId="3" applyNumberFormat="0" applyFont="0" applyFill="0" applyBorder="0" applyProtection="0">
      <alignment horizontal="left" vertical="center" indent="5"/>
    </xf>
    <xf numFmtId="0" fontId="8" fillId="3" borderId="0">
      <alignment horizontal="left" vertical="center"/>
    </xf>
    <xf numFmtId="4" fontId="9" fillId="0" borderId="4" applyFill="0" applyBorder="0" applyProtection="0">
      <alignment horizontal="right" vertical="center"/>
    </xf>
    <xf numFmtId="164" fontId="10" fillId="0" borderId="0" applyFont="0" applyFill="0" applyBorder="0" applyAlignment="0" applyProtection="0"/>
    <xf numFmtId="0" fontId="11" fillId="0" borderId="0">
      <alignment vertical="center"/>
    </xf>
    <xf numFmtId="165" fontId="12" fillId="0" borderId="0"/>
    <xf numFmtId="0" fontId="8" fillId="4" borderId="0">
      <alignment horizontal="center" vertical="center" wrapText="1"/>
    </xf>
    <xf numFmtId="166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167" fontId="12" fillId="0" borderId="0"/>
    <xf numFmtId="168" fontId="16" fillId="0" borderId="0"/>
    <xf numFmtId="0" fontId="8" fillId="5" borderId="0">
      <alignment horizontal="left" vertical="center"/>
    </xf>
    <xf numFmtId="169" fontId="16" fillId="0" borderId="0"/>
    <xf numFmtId="170" fontId="12" fillId="0" borderId="0"/>
    <xf numFmtId="171" fontId="16" fillId="0" borderId="0"/>
    <xf numFmtId="172" fontId="8" fillId="0" borderId="0">
      <alignment horizontal="center" vertical="center"/>
    </xf>
    <xf numFmtId="173" fontId="12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4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4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4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" fontId="7" fillId="0" borderId="2" applyFill="0" applyBorder="0" applyProtection="0">
      <alignment horizontal="right" vertical="center"/>
    </xf>
    <xf numFmtId="49" fontId="9" fillId="0" borderId="2" applyNumberFormat="0" applyFill="0" applyBorder="0" applyProtection="0">
      <alignment horizontal="left" vertical="center"/>
    </xf>
    <xf numFmtId="0" fontId="7" fillId="0" borderId="2" applyNumberFormat="0" applyFill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6" borderId="5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0" fontId="18" fillId="2" borderId="1" applyNumberFormat="0" applyFont="0" applyAlignment="0" applyProtection="0"/>
    <xf numFmtId="175" fontId="10" fillId="0" borderId="0"/>
    <xf numFmtId="176" fontId="10" fillId="7" borderId="0">
      <alignment horizontal="center" vertical="center"/>
    </xf>
    <xf numFmtId="176" fontId="10" fillId="7" borderId="0">
      <alignment horizontal="center" vertical="center"/>
    </xf>
    <xf numFmtId="176" fontId="10" fillId="7" borderId="0">
      <alignment horizontal="center" vertical="center"/>
    </xf>
    <xf numFmtId="176" fontId="10" fillId="7" borderId="0">
      <alignment horizontal="center" vertical="center"/>
    </xf>
    <xf numFmtId="176" fontId="10" fillId="7" borderId="0">
      <alignment horizontal="center" vertical="center"/>
    </xf>
    <xf numFmtId="176" fontId="10" fillId="7" borderId="0">
      <alignment horizontal="center" vertical="center"/>
    </xf>
    <xf numFmtId="176" fontId="10" fillId="7" borderId="0">
      <alignment horizontal="center" vertical="center"/>
    </xf>
    <xf numFmtId="176" fontId="10" fillId="7" borderId="0">
      <alignment horizontal="center" vertical="center"/>
    </xf>
    <xf numFmtId="176" fontId="10" fillId="7" borderId="0">
      <alignment horizontal="center" vertical="center"/>
    </xf>
    <xf numFmtId="176" fontId="10" fillId="7" borderId="0">
      <alignment horizontal="center" vertical="center"/>
    </xf>
    <xf numFmtId="176" fontId="10" fillId="7" borderId="0">
      <alignment horizontal="center" vertical="center"/>
    </xf>
    <xf numFmtId="176" fontId="10" fillId="7" borderId="0">
      <alignment horizontal="center" vertical="center"/>
    </xf>
    <xf numFmtId="176" fontId="10" fillId="7" borderId="0">
      <alignment horizontal="center" vertical="center"/>
    </xf>
    <xf numFmtId="176" fontId="10" fillId="7" borderId="0">
      <alignment horizontal="center" vertical="center"/>
    </xf>
    <xf numFmtId="176" fontId="10" fillId="7" borderId="0">
      <alignment horizontal="center" vertical="center"/>
    </xf>
    <xf numFmtId="0" fontId="8" fillId="0" borderId="0"/>
    <xf numFmtId="177" fontId="8" fillId="0" borderId="0">
      <alignment horizontal="center" vertical="center"/>
    </xf>
    <xf numFmtId="177" fontId="19" fillId="0" borderId="0">
      <alignment vertical="center" wrapText="1"/>
    </xf>
    <xf numFmtId="177" fontId="19" fillId="0" borderId="0">
      <alignment vertical="center" wrapText="1"/>
    </xf>
    <xf numFmtId="177" fontId="8" fillId="0" borderId="0">
      <alignment horizontal="center" vertical="center"/>
    </xf>
    <xf numFmtId="0" fontId="20" fillId="8" borderId="0">
      <alignment vertical="center" wrapText="1"/>
    </xf>
    <xf numFmtId="177" fontId="21" fillId="0" borderId="0">
      <alignment horizontal="center" vertical="center"/>
    </xf>
    <xf numFmtId="0" fontId="8" fillId="9" borderId="0">
      <alignment horizontal="left" vertical="center"/>
    </xf>
    <xf numFmtId="0" fontId="8" fillId="9" borderId="0">
      <alignment horizontal="left" vertical="center"/>
    </xf>
    <xf numFmtId="11" fontId="13" fillId="0" borderId="0">
      <alignment horizontal="center" vertical="center" wrapText="1"/>
    </xf>
    <xf numFmtId="178" fontId="13" fillId="0" borderId="0">
      <alignment horizontal="center" vertical="center"/>
    </xf>
    <xf numFmtId="179" fontId="10" fillId="0" borderId="0">
      <alignment horizontal="center" vertical="center"/>
    </xf>
    <xf numFmtId="180" fontId="10" fillId="0" borderId="0">
      <alignment horizontal="center" vertical="center"/>
    </xf>
    <xf numFmtId="180" fontId="10" fillId="0" borderId="0">
      <alignment horizontal="center" vertical="center"/>
    </xf>
    <xf numFmtId="181" fontId="16" fillId="0" borderId="0"/>
  </cellStyleXfs>
  <cellXfs count="25"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0" applyFont="1"/>
    <xf numFmtId="11" fontId="0" fillId="0" borderId="0" xfId="0" applyNumberFormat="1"/>
    <xf numFmtId="0" fontId="0" fillId="0" borderId="0" xfId="0" applyNumberFormat="1"/>
    <xf numFmtId="0" fontId="0" fillId="0" borderId="0" xfId="0"/>
    <xf numFmtId="0" fontId="3" fillId="0" borderId="0" xfId="0" applyFont="1" applyBorder="1"/>
    <xf numFmtId="0" fontId="0" fillId="0" borderId="0" xfId="0" applyBorder="1"/>
    <xf numFmtId="0" fontId="6" fillId="0" borderId="0" xfId="0" applyFont="1" applyBorder="1" applyAlignment="1">
      <alignment horizontal="justify" vertical="top" wrapText="1"/>
    </xf>
    <xf numFmtId="0" fontId="0" fillId="0" borderId="0" xfId="0" applyFill="1" applyBorder="1"/>
    <xf numFmtId="0" fontId="3" fillId="0" borderId="0" xfId="0" applyFont="1" applyFill="1" applyBorder="1"/>
    <xf numFmtId="0" fontId="0" fillId="0" borderId="0" xfId="0" applyFill="1" applyBorder="1" applyAlignment="1">
      <alignment horizontal="justify" vertical="top" wrapText="1"/>
    </xf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Font="1"/>
    <xf numFmtId="0" fontId="0" fillId="0" borderId="0" xfId="0"/>
    <xf numFmtId="11" fontId="0" fillId="0" borderId="0" xfId="0" applyNumberFormat="1" applyFill="1" applyBorder="1" applyAlignment="1">
      <alignment horizontal="center"/>
    </xf>
    <xf numFmtId="11" fontId="0" fillId="0" borderId="0" xfId="0" applyNumberFormat="1" applyBorder="1"/>
    <xf numFmtId="11" fontId="6" fillId="0" borderId="0" xfId="0" applyNumberFormat="1" applyFont="1" applyFill="1" applyBorder="1" applyAlignment="1">
      <alignment horizontal="center" vertical="top" wrapText="1"/>
    </xf>
    <xf numFmtId="11" fontId="0" fillId="0" borderId="0" xfId="0" applyNumberFormat="1" applyFill="1" applyBorder="1"/>
    <xf numFmtId="11" fontId="0" fillId="0" borderId="0" xfId="0" applyNumberFormat="1" applyFont="1" applyFill="1" applyAlignment="1">
      <alignment horizontal="center"/>
    </xf>
    <xf numFmtId="11" fontId="0" fillId="0" borderId="0" xfId="0" applyNumberFormat="1" applyFill="1" applyAlignment="1">
      <alignment horizontal="center"/>
    </xf>
    <xf numFmtId="11" fontId="6" fillId="0" borderId="0" xfId="0" applyNumberFormat="1" applyFont="1" applyFill="1" applyBorder="1" applyAlignment="1">
      <alignment horizontal="center" wrapText="1"/>
    </xf>
  </cellXfs>
  <cellStyles count="1835">
    <cellStyle name="2x indented GHG Textfiels" xfId="1" xr:uid="{00000000-0005-0000-0000-000000000000}"/>
    <cellStyle name="5x indented GHG Textfiels" xfId="2" xr:uid="{00000000-0005-0000-0000-000001000000}"/>
    <cellStyle name="Boden" xfId="3" xr:uid="{00000000-0005-0000-0000-000002000000}"/>
    <cellStyle name="Bold GHG Numbers (0.00)" xfId="4" xr:uid="{00000000-0005-0000-0000-000003000000}"/>
    <cellStyle name="Comma 2" xfId="5" xr:uid="{00000000-0005-0000-0000-000004000000}"/>
    <cellStyle name="comment" xfId="6" xr:uid="{00000000-0005-0000-0000-000005000000}"/>
    <cellStyle name="dt" xfId="7" xr:uid="{00000000-0005-0000-0000-000006000000}"/>
    <cellStyle name="EcoTitel" xfId="8" xr:uid="{00000000-0005-0000-0000-000007000000}"/>
    <cellStyle name="Euro" xfId="9" xr:uid="{00000000-0005-0000-0000-000008000000}"/>
    <cellStyle name="Headline" xfId="10" xr:uid="{00000000-0005-0000-0000-000009000000}"/>
    <cellStyle name="Hyperlink 3 10" xfId="11" xr:uid="{00000000-0005-0000-0000-00000A000000}"/>
    <cellStyle name="Hyperlink 3 11" xfId="12" xr:uid="{00000000-0005-0000-0000-00000B000000}"/>
    <cellStyle name="Hyperlink 3 12" xfId="13" xr:uid="{00000000-0005-0000-0000-00000C000000}"/>
    <cellStyle name="Hyperlink 3 13" xfId="14" xr:uid="{00000000-0005-0000-0000-00000D000000}"/>
    <cellStyle name="Hyperlink 3 2" xfId="15" xr:uid="{00000000-0005-0000-0000-00000E000000}"/>
    <cellStyle name="Hyperlink 3 3" xfId="16" xr:uid="{00000000-0005-0000-0000-00000F000000}"/>
    <cellStyle name="Hyperlink 3 4" xfId="17" xr:uid="{00000000-0005-0000-0000-000010000000}"/>
    <cellStyle name="Hyperlink 3 5" xfId="18" xr:uid="{00000000-0005-0000-0000-000011000000}"/>
    <cellStyle name="Hyperlink 3 6" xfId="19" xr:uid="{00000000-0005-0000-0000-000012000000}"/>
    <cellStyle name="Hyperlink 3 7" xfId="20" xr:uid="{00000000-0005-0000-0000-000013000000}"/>
    <cellStyle name="Hyperlink 3 8" xfId="21" xr:uid="{00000000-0005-0000-0000-000014000000}"/>
    <cellStyle name="Hyperlink 3 9" xfId="22" xr:uid="{00000000-0005-0000-0000-000015000000}"/>
    <cellStyle name="kg" xfId="23" xr:uid="{00000000-0005-0000-0000-000016000000}"/>
    <cellStyle name="l" xfId="24" xr:uid="{00000000-0005-0000-0000-000017000000}"/>
    <cellStyle name="Luft" xfId="25" xr:uid="{00000000-0005-0000-0000-000018000000}"/>
    <cellStyle name="m2" xfId="26" xr:uid="{00000000-0005-0000-0000-000019000000}"/>
    <cellStyle name="m2a" xfId="27" xr:uid="{00000000-0005-0000-0000-00001A000000}"/>
    <cellStyle name="m3" xfId="28" xr:uid="{00000000-0005-0000-0000-00001B000000}"/>
    <cellStyle name="Niels" xfId="29" xr:uid="{00000000-0005-0000-0000-00001C000000}"/>
    <cellStyle name="NielsProz" xfId="30" xr:uid="{00000000-0005-0000-0000-00001D000000}"/>
    <cellStyle name="Normal" xfId="0" builtinId="0"/>
    <cellStyle name="Normal 2" xfId="31" xr:uid="{00000000-0005-0000-0000-00001F000000}"/>
    <cellStyle name="Normal 2 10" xfId="32" xr:uid="{00000000-0005-0000-0000-000020000000}"/>
    <cellStyle name="Normal 2 10 10" xfId="33" xr:uid="{00000000-0005-0000-0000-000021000000}"/>
    <cellStyle name="Normal 2 10 11" xfId="34" xr:uid="{00000000-0005-0000-0000-000022000000}"/>
    <cellStyle name="Normal 2 10 12" xfId="35" xr:uid="{00000000-0005-0000-0000-000023000000}"/>
    <cellStyle name="Normal 2 10 13" xfId="36" xr:uid="{00000000-0005-0000-0000-000024000000}"/>
    <cellStyle name="Normal 2 10 2" xfId="37" xr:uid="{00000000-0005-0000-0000-000025000000}"/>
    <cellStyle name="Normal 2 10 3" xfId="38" xr:uid="{00000000-0005-0000-0000-000026000000}"/>
    <cellStyle name="Normal 2 10 4" xfId="39" xr:uid="{00000000-0005-0000-0000-000027000000}"/>
    <cellStyle name="Normal 2 10 5" xfId="40" xr:uid="{00000000-0005-0000-0000-000028000000}"/>
    <cellStyle name="Normal 2 10 6" xfId="41" xr:uid="{00000000-0005-0000-0000-000029000000}"/>
    <cellStyle name="Normal 2 10 7" xfId="42" xr:uid="{00000000-0005-0000-0000-00002A000000}"/>
    <cellStyle name="Normal 2 10 8" xfId="43" xr:uid="{00000000-0005-0000-0000-00002B000000}"/>
    <cellStyle name="Normal 2 10 9" xfId="44" xr:uid="{00000000-0005-0000-0000-00002C000000}"/>
    <cellStyle name="Normal 2 10_100114_ReCiPe_endpoint_orginalversion-Sander" xfId="45" xr:uid="{00000000-0005-0000-0000-00002D000000}"/>
    <cellStyle name="Normal 2 11" xfId="46" xr:uid="{00000000-0005-0000-0000-00002E000000}"/>
    <cellStyle name="Normal 2 11 10" xfId="47" xr:uid="{00000000-0005-0000-0000-00002F000000}"/>
    <cellStyle name="Normal 2 11 11" xfId="48" xr:uid="{00000000-0005-0000-0000-000030000000}"/>
    <cellStyle name="Normal 2 11 12" xfId="49" xr:uid="{00000000-0005-0000-0000-000031000000}"/>
    <cellStyle name="Normal 2 11 13" xfId="50" xr:uid="{00000000-0005-0000-0000-000032000000}"/>
    <cellStyle name="Normal 2 11 2" xfId="51" xr:uid="{00000000-0005-0000-0000-000033000000}"/>
    <cellStyle name="Normal 2 11 3" xfId="52" xr:uid="{00000000-0005-0000-0000-000034000000}"/>
    <cellStyle name="Normal 2 11 4" xfId="53" xr:uid="{00000000-0005-0000-0000-000035000000}"/>
    <cellStyle name="Normal 2 11 5" xfId="54" xr:uid="{00000000-0005-0000-0000-000036000000}"/>
    <cellStyle name="Normal 2 11 6" xfId="55" xr:uid="{00000000-0005-0000-0000-000037000000}"/>
    <cellStyle name="Normal 2 11 7" xfId="56" xr:uid="{00000000-0005-0000-0000-000038000000}"/>
    <cellStyle name="Normal 2 11 8" xfId="57" xr:uid="{00000000-0005-0000-0000-000039000000}"/>
    <cellStyle name="Normal 2 11 9" xfId="58" xr:uid="{00000000-0005-0000-0000-00003A000000}"/>
    <cellStyle name="Normal 2 11_100114_ReCiPe_endpoint_orginalversion-Sander" xfId="59" xr:uid="{00000000-0005-0000-0000-00003B000000}"/>
    <cellStyle name="Normal 2 12" xfId="60" xr:uid="{00000000-0005-0000-0000-00003C000000}"/>
    <cellStyle name="Normal 2 12 10" xfId="61" xr:uid="{00000000-0005-0000-0000-00003D000000}"/>
    <cellStyle name="Normal 2 12 11" xfId="62" xr:uid="{00000000-0005-0000-0000-00003E000000}"/>
    <cellStyle name="Normal 2 12 12" xfId="63" xr:uid="{00000000-0005-0000-0000-00003F000000}"/>
    <cellStyle name="Normal 2 12 13" xfId="64" xr:uid="{00000000-0005-0000-0000-000040000000}"/>
    <cellStyle name="Normal 2 12 2" xfId="65" xr:uid="{00000000-0005-0000-0000-000041000000}"/>
    <cellStyle name="Normal 2 12 3" xfId="66" xr:uid="{00000000-0005-0000-0000-000042000000}"/>
    <cellStyle name="Normal 2 12 4" xfId="67" xr:uid="{00000000-0005-0000-0000-000043000000}"/>
    <cellStyle name="Normal 2 12 5" xfId="68" xr:uid="{00000000-0005-0000-0000-000044000000}"/>
    <cellStyle name="Normal 2 12 6" xfId="69" xr:uid="{00000000-0005-0000-0000-000045000000}"/>
    <cellStyle name="Normal 2 12 7" xfId="70" xr:uid="{00000000-0005-0000-0000-000046000000}"/>
    <cellStyle name="Normal 2 12 8" xfId="71" xr:uid="{00000000-0005-0000-0000-000047000000}"/>
    <cellStyle name="Normal 2 12 9" xfId="72" xr:uid="{00000000-0005-0000-0000-000048000000}"/>
    <cellStyle name="Normal 2 12_100114_ReCiPe_endpoint_orginalversion-Sander" xfId="73" xr:uid="{00000000-0005-0000-0000-000049000000}"/>
    <cellStyle name="Normal 2 13" xfId="74" xr:uid="{00000000-0005-0000-0000-00004A000000}"/>
    <cellStyle name="Normal 2 13 10" xfId="75" xr:uid="{00000000-0005-0000-0000-00004B000000}"/>
    <cellStyle name="Normal 2 13 11" xfId="76" xr:uid="{00000000-0005-0000-0000-00004C000000}"/>
    <cellStyle name="Normal 2 13 12" xfId="77" xr:uid="{00000000-0005-0000-0000-00004D000000}"/>
    <cellStyle name="Normal 2 13 13" xfId="78" xr:uid="{00000000-0005-0000-0000-00004E000000}"/>
    <cellStyle name="Normal 2 13 2" xfId="79" xr:uid="{00000000-0005-0000-0000-00004F000000}"/>
    <cellStyle name="Normal 2 13 3" xfId="80" xr:uid="{00000000-0005-0000-0000-000050000000}"/>
    <cellStyle name="Normal 2 13 4" xfId="81" xr:uid="{00000000-0005-0000-0000-000051000000}"/>
    <cellStyle name="Normal 2 13 5" xfId="82" xr:uid="{00000000-0005-0000-0000-000052000000}"/>
    <cellStyle name="Normal 2 13 6" xfId="83" xr:uid="{00000000-0005-0000-0000-000053000000}"/>
    <cellStyle name="Normal 2 13 7" xfId="84" xr:uid="{00000000-0005-0000-0000-000054000000}"/>
    <cellStyle name="Normal 2 13 8" xfId="85" xr:uid="{00000000-0005-0000-0000-000055000000}"/>
    <cellStyle name="Normal 2 13 9" xfId="86" xr:uid="{00000000-0005-0000-0000-000056000000}"/>
    <cellStyle name="Normal 2 13_100114_ReCiPe_endpoint_orginalversion-Sander" xfId="87" xr:uid="{00000000-0005-0000-0000-000057000000}"/>
    <cellStyle name="Normal 2 14" xfId="88" xr:uid="{00000000-0005-0000-0000-000058000000}"/>
    <cellStyle name="Normal 2 14 10" xfId="89" xr:uid="{00000000-0005-0000-0000-000059000000}"/>
    <cellStyle name="Normal 2 14 11" xfId="90" xr:uid="{00000000-0005-0000-0000-00005A000000}"/>
    <cellStyle name="Normal 2 14 12" xfId="91" xr:uid="{00000000-0005-0000-0000-00005B000000}"/>
    <cellStyle name="Normal 2 14 13" xfId="92" xr:uid="{00000000-0005-0000-0000-00005C000000}"/>
    <cellStyle name="Normal 2 14 2" xfId="93" xr:uid="{00000000-0005-0000-0000-00005D000000}"/>
    <cellStyle name="Normal 2 14 3" xfId="94" xr:uid="{00000000-0005-0000-0000-00005E000000}"/>
    <cellStyle name="Normal 2 14 4" xfId="95" xr:uid="{00000000-0005-0000-0000-00005F000000}"/>
    <cellStyle name="Normal 2 14 5" xfId="96" xr:uid="{00000000-0005-0000-0000-000060000000}"/>
    <cellStyle name="Normal 2 14 6" xfId="97" xr:uid="{00000000-0005-0000-0000-000061000000}"/>
    <cellStyle name="Normal 2 14 7" xfId="98" xr:uid="{00000000-0005-0000-0000-000062000000}"/>
    <cellStyle name="Normal 2 14 8" xfId="99" xr:uid="{00000000-0005-0000-0000-000063000000}"/>
    <cellStyle name="Normal 2 14 9" xfId="100" xr:uid="{00000000-0005-0000-0000-000064000000}"/>
    <cellStyle name="Normal 2 14_100114_ReCiPe_endpoint_orginalversion-Sander" xfId="101" xr:uid="{00000000-0005-0000-0000-000065000000}"/>
    <cellStyle name="Normal 2 15" xfId="102" xr:uid="{00000000-0005-0000-0000-000066000000}"/>
    <cellStyle name="Normal 2 15 10" xfId="103" xr:uid="{00000000-0005-0000-0000-000067000000}"/>
    <cellStyle name="Normal 2 15 11" xfId="104" xr:uid="{00000000-0005-0000-0000-000068000000}"/>
    <cellStyle name="Normal 2 15 12" xfId="105" xr:uid="{00000000-0005-0000-0000-000069000000}"/>
    <cellStyle name="Normal 2 15 13" xfId="106" xr:uid="{00000000-0005-0000-0000-00006A000000}"/>
    <cellStyle name="Normal 2 15 2" xfId="107" xr:uid="{00000000-0005-0000-0000-00006B000000}"/>
    <cellStyle name="Normal 2 15 3" xfId="108" xr:uid="{00000000-0005-0000-0000-00006C000000}"/>
    <cellStyle name="Normal 2 15 4" xfId="109" xr:uid="{00000000-0005-0000-0000-00006D000000}"/>
    <cellStyle name="Normal 2 15 5" xfId="110" xr:uid="{00000000-0005-0000-0000-00006E000000}"/>
    <cellStyle name="Normal 2 15 6" xfId="111" xr:uid="{00000000-0005-0000-0000-00006F000000}"/>
    <cellStyle name="Normal 2 15 7" xfId="112" xr:uid="{00000000-0005-0000-0000-000070000000}"/>
    <cellStyle name="Normal 2 15 8" xfId="113" xr:uid="{00000000-0005-0000-0000-000071000000}"/>
    <cellStyle name="Normal 2 15 9" xfId="114" xr:uid="{00000000-0005-0000-0000-000072000000}"/>
    <cellStyle name="Normal 2 15_100114_ReCiPe_endpoint_orginalversion-Sander" xfId="115" xr:uid="{00000000-0005-0000-0000-000073000000}"/>
    <cellStyle name="Normal 2 16" xfId="116" xr:uid="{00000000-0005-0000-0000-000074000000}"/>
    <cellStyle name="Normal 2 16 10" xfId="117" xr:uid="{00000000-0005-0000-0000-000075000000}"/>
    <cellStyle name="Normal 2 16 11" xfId="118" xr:uid="{00000000-0005-0000-0000-000076000000}"/>
    <cellStyle name="Normal 2 16 12" xfId="119" xr:uid="{00000000-0005-0000-0000-000077000000}"/>
    <cellStyle name="Normal 2 16 13" xfId="120" xr:uid="{00000000-0005-0000-0000-000078000000}"/>
    <cellStyle name="Normal 2 16 2" xfId="121" xr:uid="{00000000-0005-0000-0000-000079000000}"/>
    <cellStyle name="Normal 2 16 3" xfId="122" xr:uid="{00000000-0005-0000-0000-00007A000000}"/>
    <cellStyle name="Normal 2 16 4" xfId="123" xr:uid="{00000000-0005-0000-0000-00007B000000}"/>
    <cellStyle name="Normal 2 16 5" xfId="124" xr:uid="{00000000-0005-0000-0000-00007C000000}"/>
    <cellStyle name="Normal 2 16 6" xfId="125" xr:uid="{00000000-0005-0000-0000-00007D000000}"/>
    <cellStyle name="Normal 2 16 7" xfId="126" xr:uid="{00000000-0005-0000-0000-00007E000000}"/>
    <cellStyle name="Normal 2 16 8" xfId="127" xr:uid="{00000000-0005-0000-0000-00007F000000}"/>
    <cellStyle name="Normal 2 16 9" xfId="128" xr:uid="{00000000-0005-0000-0000-000080000000}"/>
    <cellStyle name="Normal 2 16_100114_ReCiPe_endpoint_orginalversion-Sander" xfId="129" xr:uid="{00000000-0005-0000-0000-000081000000}"/>
    <cellStyle name="Normal 2 17" xfId="130" xr:uid="{00000000-0005-0000-0000-000082000000}"/>
    <cellStyle name="Normal 2 17 10" xfId="131" xr:uid="{00000000-0005-0000-0000-000083000000}"/>
    <cellStyle name="Normal 2 17 11" xfId="132" xr:uid="{00000000-0005-0000-0000-000084000000}"/>
    <cellStyle name="Normal 2 17 12" xfId="133" xr:uid="{00000000-0005-0000-0000-000085000000}"/>
    <cellStyle name="Normal 2 17 13" xfId="134" xr:uid="{00000000-0005-0000-0000-000086000000}"/>
    <cellStyle name="Normal 2 17 2" xfId="135" xr:uid="{00000000-0005-0000-0000-000087000000}"/>
    <cellStyle name="Normal 2 17 3" xfId="136" xr:uid="{00000000-0005-0000-0000-000088000000}"/>
    <cellStyle name="Normal 2 17 4" xfId="137" xr:uid="{00000000-0005-0000-0000-000089000000}"/>
    <cellStyle name="Normal 2 17 5" xfId="138" xr:uid="{00000000-0005-0000-0000-00008A000000}"/>
    <cellStyle name="Normal 2 17 6" xfId="139" xr:uid="{00000000-0005-0000-0000-00008B000000}"/>
    <cellStyle name="Normal 2 17 7" xfId="140" xr:uid="{00000000-0005-0000-0000-00008C000000}"/>
    <cellStyle name="Normal 2 17 8" xfId="141" xr:uid="{00000000-0005-0000-0000-00008D000000}"/>
    <cellStyle name="Normal 2 17 9" xfId="142" xr:uid="{00000000-0005-0000-0000-00008E000000}"/>
    <cellStyle name="Normal 2 17_100114_ReCiPe_endpoint_orginalversion-Sander" xfId="143" xr:uid="{00000000-0005-0000-0000-00008F000000}"/>
    <cellStyle name="Normal 2 18" xfId="144" xr:uid="{00000000-0005-0000-0000-000090000000}"/>
    <cellStyle name="Normal 2 18 10" xfId="145" xr:uid="{00000000-0005-0000-0000-000091000000}"/>
    <cellStyle name="Normal 2 18 11" xfId="146" xr:uid="{00000000-0005-0000-0000-000092000000}"/>
    <cellStyle name="Normal 2 18 12" xfId="147" xr:uid="{00000000-0005-0000-0000-000093000000}"/>
    <cellStyle name="Normal 2 18 13" xfId="148" xr:uid="{00000000-0005-0000-0000-000094000000}"/>
    <cellStyle name="Normal 2 18 2" xfId="149" xr:uid="{00000000-0005-0000-0000-000095000000}"/>
    <cellStyle name="Normal 2 18 3" xfId="150" xr:uid="{00000000-0005-0000-0000-000096000000}"/>
    <cellStyle name="Normal 2 18 4" xfId="151" xr:uid="{00000000-0005-0000-0000-000097000000}"/>
    <cellStyle name="Normal 2 18 5" xfId="152" xr:uid="{00000000-0005-0000-0000-000098000000}"/>
    <cellStyle name="Normal 2 18 6" xfId="153" xr:uid="{00000000-0005-0000-0000-000099000000}"/>
    <cellStyle name="Normal 2 18 7" xfId="154" xr:uid="{00000000-0005-0000-0000-00009A000000}"/>
    <cellStyle name="Normal 2 18 8" xfId="155" xr:uid="{00000000-0005-0000-0000-00009B000000}"/>
    <cellStyle name="Normal 2 18 9" xfId="156" xr:uid="{00000000-0005-0000-0000-00009C000000}"/>
    <cellStyle name="Normal 2 18_100114_ReCiPe_endpoint_orginalversion-Sander" xfId="157" xr:uid="{00000000-0005-0000-0000-00009D000000}"/>
    <cellStyle name="Normal 2 19" xfId="158" xr:uid="{00000000-0005-0000-0000-00009E000000}"/>
    <cellStyle name="Normal 2 19 10" xfId="159" xr:uid="{00000000-0005-0000-0000-00009F000000}"/>
    <cellStyle name="Normal 2 19 11" xfId="160" xr:uid="{00000000-0005-0000-0000-0000A0000000}"/>
    <cellStyle name="Normal 2 19 12" xfId="161" xr:uid="{00000000-0005-0000-0000-0000A1000000}"/>
    <cellStyle name="Normal 2 19 13" xfId="162" xr:uid="{00000000-0005-0000-0000-0000A2000000}"/>
    <cellStyle name="Normal 2 19 2" xfId="163" xr:uid="{00000000-0005-0000-0000-0000A3000000}"/>
    <cellStyle name="Normal 2 19 3" xfId="164" xr:uid="{00000000-0005-0000-0000-0000A4000000}"/>
    <cellStyle name="Normal 2 19 4" xfId="165" xr:uid="{00000000-0005-0000-0000-0000A5000000}"/>
    <cellStyle name="Normal 2 19 5" xfId="166" xr:uid="{00000000-0005-0000-0000-0000A6000000}"/>
    <cellStyle name="Normal 2 19 6" xfId="167" xr:uid="{00000000-0005-0000-0000-0000A7000000}"/>
    <cellStyle name="Normal 2 19 7" xfId="168" xr:uid="{00000000-0005-0000-0000-0000A8000000}"/>
    <cellStyle name="Normal 2 19 8" xfId="169" xr:uid="{00000000-0005-0000-0000-0000A9000000}"/>
    <cellStyle name="Normal 2 19 9" xfId="170" xr:uid="{00000000-0005-0000-0000-0000AA000000}"/>
    <cellStyle name="Normal 2 19_100114_ReCiPe_endpoint_orginalversion-Sander" xfId="171" xr:uid="{00000000-0005-0000-0000-0000AB000000}"/>
    <cellStyle name="Normal 2 2" xfId="172" xr:uid="{00000000-0005-0000-0000-0000AC000000}"/>
    <cellStyle name="Normal 2 2 2" xfId="173" xr:uid="{00000000-0005-0000-0000-0000AD000000}"/>
    <cellStyle name="Normal 2 2 2 10" xfId="174" xr:uid="{00000000-0005-0000-0000-0000AE000000}"/>
    <cellStyle name="Normal 2 2 2 11" xfId="175" xr:uid="{00000000-0005-0000-0000-0000AF000000}"/>
    <cellStyle name="Normal 2 2 2 12" xfId="176" xr:uid="{00000000-0005-0000-0000-0000B0000000}"/>
    <cellStyle name="Normal 2 2 2 13" xfId="177" xr:uid="{00000000-0005-0000-0000-0000B1000000}"/>
    <cellStyle name="Normal 2 2 2 14" xfId="178" xr:uid="{00000000-0005-0000-0000-0000B2000000}"/>
    <cellStyle name="Normal 2 2 2 15" xfId="179" xr:uid="{00000000-0005-0000-0000-0000B3000000}"/>
    <cellStyle name="Normal 2 2 2 16" xfId="180" xr:uid="{00000000-0005-0000-0000-0000B4000000}"/>
    <cellStyle name="Normal 2 2 2 17" xfId="181" xr:uid="{00000000-0005-0000-0000-0000B5000000}"/>
    <cellStyle name="Normal 2 2 2 18" xfId="182" xr:uid="{00000000-0005-0000-0000-0000B6000000}"/>
    <cellStyle name="Normal 2 2 2 19" xfId="183" xr:uid="{00000000-0005-0000-0000-0000B7000000}"/>
    <cellStyle name="Normal 2 2 2 2" xfId="184" xr:uid="{00000000-0005-0000-0000-0000B8000000}"/>
    <cellStyle name="Normal 2 2 2 20" xfId="185" xr:uid="{00000000-0005-0000-0000-0000B9000000}"/>
    <cellStyle name="Normal 2 2 2 21" xfId="186" xr:uid="{00000000-0005-0000-0000-0000BA000000}"/>
    <cellStyle name="Normal 2 2 2 22" xfId="187" xr:uid="{00000000-0005-0000-0000-0000BB000000}"/>
    <cellStyle name="Normal 2 2 2 23" xfId="188" xr:uid="{00000000-0005-0000-0000-0000BC000000}"/>
    <cellStyle name="Normal 2 2 2 24" xfId="189" xr:uid="{00000000-0005-0000-0000-0000BD000000}"/>
    <cellStyle name="Normal 2 2 2 25" xfId="190" xr:uid="{00000000-0005-0000-0000-0000BE000000}"/>
    <cellStyle name="Normal 2 2 2 26" xfId="191" xr:uid="{00000000-0005-0000-0000-0000BF000000}"/>
    <cellStyle name="Normal 2 2 2 27" xfId="192" xr:uid="{00000000-0005-0000-0000-0000C0000000}"/>
    <cellStyle name="Normal 2 2 2 28" xfId="193" xr:uid="{00000000-0005-0000-0000-0000C1000000}"/>
    <cellStyle name="Normal 2 2 2 29" xfId="194" xr:uid="{00000000-0005-0000-0000-0000C2000000}"/>
    <cellStyle name="Normal 2 2 2 3" xfId="195" xr:uid="{00000000-0005-0000-0000-0000C3000000}"/>
    <cellStyle name="Normal 2 2 2 30" xfId="196" xr:uid="{00000000-0005-0000-0000-0000C4000000}"/>
    <cellStyle name="Normal 2 2 2 31" xfId="197" xr:uid="{00000000-0005-0000-0000-0000C5000000}"/>
    <cellStyle name="Normal 2 2 2 32" xfId="198" xr:uid="{00000000-0005-0000-0000-0000C6000000}"/>
    <cellStyle name="Normal 2 2 2 33" xfId="199" xr:uid="{00000000-0005-0000-0000-0000C7000000}"/>
    <cellStyle name="Normal 2 2 2 34" xfId="200" xr:uid="{00000000-0005-0000-0000-0000C8000000}"/>
    <cellStyle name="Normal 2 2 2 35" xfId="201" xr:uid="{00000000-0005-0000-0000-0000C9000000}"/>
    <cellStyle name="Normal 2 2 2 36" xfId="202" xr:uid="{00000000-0005-0000-0000-0000CA000000}"/>
    <cellStyle name="Normal 2 2 2 37" xfId="203" xr:uid="{00000000-0005-0000-0000-0000CB000000}"/>
    <cellStyle name="Normal 2 2 2 38" xfId="204" xr:uid="{00000000-0005-0000-0000-0000CC000000}"/>
    <cellStyle name="Normal 2 2 2 39" xfId="205" xr:uid="{00000000-0005-0000-0000-0000CD000000}"/>
    <cellStyle name="Normal 2 2 2 4" xfId="206" xr:uid="{00000000-0005-0000-0000-0000CE000000}"/>
    <cellStyle name="Normal 2 2 2 40" xfId="207" xr:uid="{00000000-0005-0000-0000-0000CF000000}"/>
    <cellStyle name="Normal 2 2 2 41" xfId="208" xr:uid="{00000000-0005-0000-0000-0000D0000000}"/>
    <cellStyle name="Normal 2 2 2 42" xfId="209" xr:uid="{00000000-0005-0000-0000-0000D1000000}"/>
    <cellStyle name="Normal 2 2 2 43" xfId="210" xr:uid="{00000000-0005-0000-0000-0000D2000000}"/>
    <cellStyle name="Normal 2 2 2 44" xfId="211" xr:uid="{00000000-0005-0000-0000-0000D3000000}"/>
    <cellStyle name="Normal 2 2 2 45" xfId="212" xr:uid="{00000000-0005-0000-0000-0000D4000000}"/>
    <cellStyle name="Normal 2 2 2 46" xfId="213" xr:uid="{00000000-0005-0000-0000-0000D5000000}"/>
    <cellStyle name="Normal 2 2 2 47" xfId="214" xr:uid="{00000000-0005-0000-0000-0000D6000000}"/>
    <cellStyle name="Normal 2 2 2 48" xfId="215" xr:uid="{00000000-0005-0000-0000-0000D7000000}"/>
    <cellStyle name="Normal 2 2 2 49" xfId="216" xr:uid="{00000000-0005-0000-0000-0000D8000000}"/>
    <cellStyle name="Normal 2 2 2 5" xfId="217" xr:uid="{00000000-0005-0000-0000-0000D9000000}"/>
    <cellStyle name="Normal 2 2 2 50" xfId="218" xr:uid="{00000000-0005-0000-0000-0000DA000000}"/>
    <cellStyle name="Normal 2 2 2 51" xfId="219" xr:uid="{00000000-0005-0000-0000-0000DB000000}"/>
    <cellStyle name="Normal 2 2 2 52" xfId="220" xr:uid="{00000000-0005-0000-0000-0000DC000000}"/>
    <cellStyle name="Normal 2 2 2 53" xfId="221" xr:uid="{00000000-0005-0000-0000-0000DD000000}"/>
    <cellStyle name="Normal 2 2 2 54" xfId="222" xr:uid="{00000000-0005-0000-0000-0000DE000000}"/>
    <cellStyle name="Normal 2 2 2 55" xfId="223" xr:uid="{00000000-0005-0000-0000-0000DF000000}"/>
    <cellStyle name="Normal 2 2 2 56" xfId="224" xr:uid="{00000000-0005-0000-0000-0000E0000000}"/>
    <cellStyle name="Normal 2 2 2 57" xfId="225" xr:uid="{00000000-0005-0000-0000-0000E1000000}"/>
    <cellStyle name="Normal 2 2 2 58" xfId="226" xr:uid="{00000000-0005-0000-0000-0000E2000000}"/>
    <cellStyle name="Normal 2 2 2 59" xfId="227" xr:uid="{00000000-0005-0000-0000-0000E3000000}"/>
    <cellStyle name="Normal 2 2 2 6" xfId="228" xr:uid="{00000000-0005-0000-0000-0000E4000000}"/>
    <cellStyle name="Normal 2 2 2 60" xfId="229" xr:uid="{00000000-0005-0000-0000-0000E5000000}"/>
    <cellStyle name="Normal 2 2 2 61" xfId="230" xr:uid="{00000000-0005-0000-0000-0000E6000000}"/>
    <cellStyle name="Normal 2 2 2 62" xfId="231" xr:uid="{00000000-0005-0000-0000-0000E7000000}"/>
    <cellStyle name="Normal 2 2 2 63" xfId="232" xr:uid="{00000000-0005-0000-0000-0000E8000000}"/>
    <cellStyle name="Normal 2 2 2 64" xfId="233" xr:uid="{00000000-0005-0000-0000-0000E9000000}"/>
    <cellStyle name="Normal 2 2 2 65" xfId="234" xr:uid="{00000000-0005-0000-0000-0000EA000000}"/>
    <cellStyle name="Normal 2 2 2 7" xfId="235" xr:uid="{00000000-0005-0000-0000-0000EB000000}"/>
    <cellStyle name="Normal 2 2 2 8" xfId="236" xr:uid="{00000000-0005-0000-0000-0000EC000000}"/>
    <cellStyle name="Normal 2 2 2 9" xfId="237" xr:uid="{00000000-0005-0000-0000-0000ED000000}"/>
    <cellStyle name="Normal 2 2 2_100114_ReCiPe_endpoint_orginalversion-Sander" xfId="238" xr:uid="{00000000-0005-0000-0000-0000EE000000}"/>
    <cellStyle name="Normal 2 2 3" xfId="239" xr:uid="{00000000-0005-0000-0000-0000EF000000}"/>
    <cellStyle name="Normal 2 2 3 10" xfId="240" xr:uid="{00000000-0005-0000-0000-0000F0000000}"/>
    <cellStyle name="Normal 2 2 3 11" xfId="241" xr:uid="{00000000-0005-0000-0000-0000F1000000}"/>
    <cellStyle name="Normal 2 2 3 12" xfId="242" xr:uid="{00000000-0005-0000-0000-0000F2000000}"/>
    <cellStyle name="Normal 2 2 3 13" xfId="243" xr:uid="{00000000-0005-0000-0000-0000F3000000}"/>
    <cellStyle name="Normal 2 2 3 14" xfId="244" xr:uid="{00000000-0005-0000-0000-0000F4000000}"/>
    <cellStyle name="Normal 2 2 3 15" xfId="245" xr:uid="{00000000-0005-0000-0000-0000F5000000}"/>
    <cellStyle name="Normal 2 2 3 16" xfId="246" xr:uid="{00000000-0005-0000-0000-0000F6000000}"/>
    <cellStyle name="Normal 2 2 3 17" xfId="247" xr:uid="{00000000-0005-0000-0000-0000F7000000}"/>
    <cellStyle name="Normal 2 2 3 18" xfId="248" xr:uid="{00000000-0005-0000-0000-0000F8000000}"/>
    <cellStyle name="Normal 2 2 3 19" xfId="249" xr:uid="{00000000-0005-0000-0000-0000F9000000}"/>
    <cellStyle name="Normal 2 2 3 2" xfId="250" xr:uid="{00000000-0005-0000-0000-0000FA000000}"/>
    <cellStyle name="Normal 2 2 3 20" xfId="251" xr:uid="{00000000-0005-0000-0000-0000FB000000}"/>
    <cellStyle name="Normal 2 2 3 21" xfId="252" xr:uid="{00000000-0005-0000-0000-0000FC000000}"/>
    <cellStyle name="Normal 2 2 3 22" xfId="253" xr:uid="{00000000-0005-0000-0000-0000FD000000}"/>
    <cellStyle name="Normal 2 2 3 23" xfId="254" xr:uid="{00000000-0005-0000-0000-0000FE000000}"/>
    <cellStyle name="Normal 2 2 3 24" xfId="255" xr:uid="{00000000-0005-0000-0000-0000FF000000}"/>
    <cellStyle name="Normal 2 2 3 25" xfId="256" xr:uid="{00000000-0005-0000-0000-000000010000}"/>
    <cellStyle name="Normal 2 2 3 26" xfId="257" xr:uid="{00000000-0005-0000-0000-000001010000}"/>
    <cellStyle name="Normal 2 2 3 27" xfId="258" xr:uid="{00000000-0005-0000-0000-000002010000}"/>
    <cellStyle name="Normal 2 2 3 28" xfId="259" xr:uid="{00000000-0005-0000-0000-000003010000}"/>
    <cellStyle name="Normal 2 2 3 29" xfId="260" xr:uid="{00000000-0005-0000-0000-000004010000}"/>
    <cellStyle name="Normal 2 2 3 3" xfId="261" xr:uid="{00000000-0005-0000-0000-000005010000}"/>
    <cellStyle name="Normal 2 2 3 30" xfId="262" xr:uid="{00000000-0005-0000-0000-000006010000}"/>
    <cellStyle name="Normal 2 2 3 31" xfId="263" xr:uid="{00000000-0005-0000-0000-000007010000}"/>
    <cellStyle name="Normal 2 2 3 32" xfId="264" xr:uid="{00000000-0005-0000-0000-000008010000}"/>
    <cellStyle name="Normal 2 2 3 33" xfId="265" xr:uid="{00000000-0005-0000-0000-000009010000}"/>
    <cellStyle name="Normal 2 2 3 34" xfId="266" xr:uid="{00000000-0005-0000-0000-00000A010000}"/>
    <cellStyle name="Normal 2 2 3 35" xfId="267" xr:uid="{00000000-0005-0000-0000-00000B010000}"/>
    <cellStyle name="Normal 2 2 3 36" xfId="268" xr:uid="{00000000-0005-0000-0000-00000C010000}"/>
    <cellStyle name="Normal 2 2 3 37" xfId="269" xr:uid="{00000000-0005-0000-0000-00000D010000}"/>
    <cellStyle name="Normal 2 2 3 38" xfId="270" xr:uid="{00000000-0005-0000-0000-00000E010000}"/>
    <cellStyle name="Normal 2 2 3 39" xfId="271" xr:uid="{00000000-0005-0000-0000-00000F010000}"/>
    <cellStyle name="Normal 2 2 3 4" xfId="272" xr:uid="{00000000-0005-0000-0000-000010010000}"/>
    <cellStyle name="Normal 2 2 3 40" xfId="273" xr:uid="{00000000-0005-0000-0000-000011010000}"/>
    <cellStyle name="Normal 2 2 3 41" xfId="274" xr:uid="{00000000-0005-0000-0000-000012010000}"/>
    <cellStyle name="Normal 2 2 3 42" xfId="275" xr:uid="{00000000-0005-0000-0000-000013010000}"/>
    <cellStyle name="Normal 2 2 3 43" xfId="276" xr:uid="{00000000-0005-0000-0000-000014010000}"/>
    <cellStyle name="Normal 2 2 3 44" xfId="277" xr:uid="{00000000-0005-0000-0000-000015010000}"/>
    <cellStyle name="Normal 2 2 3 45" xfId="278" xr:uid="{00000000-0005-0000-0000-000016010000}"/>
    <cellStyle name="Normal 2 2 3 46" xfId="279" xr:uid="{00000000-0005-0000-0000-000017010000}"/>
    <cellStyle name="Normal 2 2 3 47" xfId="280" xr:uid="{00000000-0005-0000-0000-000018010000}"/>
    <cellStyle name="Normal 2 2 3 48" xfId="281" xr:uid="{00000000-0005-0000-0000-000019010000}"/>
    <cellStyle name="Normal 2 2 3 49" xfId="282" xr:uid="{00000000-0005-0000-0000-00001A010000}"/>
    <cellStyle name="Normal 2 2 3 5" xfId="283" xr:uid="{00000000-0005-0000-0000-00001B010000}"/>
    <cellStyle name="Normal 2 2 3 50" xfId="284" xr:uid="{00000000-0005-0000-0000-00001C010000}"/>
    <cellStyle name="Normal 2 2 3 51" xfId="285" xr:uid="{00000000-0005-0000-0000-00001D010000}"/>
    <cellStyle name="Normal 2 2 3 52" xfId="286" xr:uid="{00000000-0005-0000-0000-00001E010000}"/>
    <cellStyle name="Normal 2 2 3 53" xfId="287" xr:uid="{00000000-0005-0000-0000-00001F010000}"/>
    <cellStyle name="Normal 2 2 3 54" xfId="288" xr:uid="{00000000-0005-0000-0000-000020010000}"/>
    <cellStyle name="Normal 2 2 3 55" xfId="289" xr:uid="{00000000-0005-0000-0000-000021010000}"/>
    <cellStyle name="Normal 2 2 3 56" xfId="290" xr:uid="{00000000-0005-0000-0000-000022010000}"/>
    <cellStyle name="Normal 2 2 3 57" xfId="291" xr:uid="{00000000-0005-0000-0000-000023010000}"/>
    <cellStyle name="Normal 2 2 3 58" xfId="292" xr:uid="{00000000-0005-0000-0000-000024010000}"/>
    <cellStyle name="Normal 2 2 3 59" xfId="293" xr:uid="{00000000-0005-0000-0000-000025010000}"/>
    <cellStyle name="Normal 2 2 3 6" xfId="294" xr:uid="{00000000-0005-0000-0000-000026010000}"/>
    <cellStyle name="Normal 2 2 3 60" xfId="295" xr:uid="{00000000-0005-0000-0000-000027010000}"/>
    <cellStyle name="Normal 2 2 3 61" xfId="296" xr:uid="{00000000-0005-0000-0000-000028010000}"/>
    <cellStyle name="Normal 2 2 3 62" xfId="297" xr:uid="{00000000-0005-0000-0000-000029010000}"/>
    <cellStyle name="Normal 2 2 3 63" xfId="298" xr:uid="{00000000-0005-0000-0000-00002A010000}"/>
    <cellStyle name="Normal 2 2 3 64" xfId="299" xr:uid="{00000000-0005-0000-0000-00002B010000}"/>
    <cellStyle name="Normal 2 2 3 65" xfId="300" xr:uid="{00000000-0005-0000-0000-00002C010000}"/>
    <cellStyle name="Normal 2 2 3 7" xfId="301" xr:uid="{00000000-0005-0000-0000-00002D010000}"/>
    <cellStyle name="Normal 2 2 3 8" xfId="302" xr:uid="{00000000-0005-0000-0000-00002E010000}"/>
    <cellStyle name="Normal 2 2 3 9" xfId="303" xr:uid="{00000000-0005-0000-0000-00002F010000}"/>
    <cellStyle name="Normal 2 2 3_100114_ReCiPe_endpoint_orginalversion-Sander" xfId="304" xr:uid="{00000000-0005-0000-0000-000030010000}"/>
    <cellStyle name="Normal 2 2 4" xfId="305" xr:uid="{00000000-0005-0000-0000-000031010000}"/>
    <cellStyle name="Normal 2 2 4 10" xfId="306" xr:uid="{00000000-0005-0000-0000-000032010000}"/>
    <cellStyle name="Normal 2 2 4 11" xfId="307" xr:uid="{00000000-0005-0000-0000-000033010000}"/>
    <cellStyle name="Normal 2 2 4 12" xfId="308" xr:uid="{00000000-0005-0000-0000-000034010000}"/>
    <cellStyle name="Normal 2 2 4 13" xfId="309" xr:uid="{00000000-0005-0000-0000-000035010000}"/>
    <cellStyle name="Normal 2 2 4 14" xfId="310" xr:uid="{00000000-0005-0000-0000-000036010000}"/>
    <cellStyle name="Normal 2 2 4 15" xfId="311" xr:uid="{00000000-0005-0000-0000-000037010000}"/>
    <cellStyle name="Normal 2 2 4 16" xfId="312" xr:uid="{00000000-0005-0000-0000-000038010000}"/>
    <cellStyle name="Normal 2 2 4 17" xfId="313" xr:uid="{00000000-0005-0000-0000-000039010000}"/>
    <cellStyle name="Normal 2 2 4 18" xfId="314" xr:uid="{00000000-0005-0000-0000-00003A010000}"/>
    <cellStyle name="Normal 2 2 4 19" xfId="315" xr:uid="{00000000-0005-0000-0000-00003B010000}"/>
    <cellStyle name="Normal 2 2 4 2" xfId="316" xr:uid="{00000000-0005-0000-0000-00003C010000}"/>
    <cellStyle name="Normal 2 2 4 20" xfId="317" xr:uid="{00000000-0005-0000-0000-00003D010000}"/>
    <cellStyle name="Normal 2 2 4 21" xfId="318" xr:uid="{00000000-0005-0000-0000-00003E010000}"/>
    <cellStyle name="Normal 2 2 4 22" xfId="319" xr:uid="{00000000-0005-0000-0000-00003F010000}"/>
    <cellStyle name="Normal 2 2 4 23" xfId="320" xr:uid="{00000000-0005-0000-0000-000040010000}"/>
    <cellStyle name="Normal 2 2 4 24" xfId="321" xr:uid="{00000000-0005-0000-0000-000041010000}"/>
    <cellStyle name="Normal 2 2 4 25" xfId="322" xr:uid="{00000000-0005-0000-0000-000042010000}"/>
    <cellStyle name="Normal 2 2 4 26" xfId="323" xr:uid="{00000000-0005-0000-0000-000043010000}"/>
    <cellStyle name="Normal 2 2 4 27" xfId="324" xr:uid="{00000000-0005-0000-0000-000044010000}"/>
    <cellStyle name="Normal 2 2 4 28" xfId="325" xr:uid="{00000000-0005-0000-0000-000045010000}"/>
    <cellStyle name="Normal 2 2 4 29" xfId="326" xr:uid="{00000000-0005-0000-0000-000046010000}"/>
    <cellStyle name="Normal 2 2 4 3" xfId="327" xr:uid="{00000000-0005-0000-0000-000047010000}"/>
    <cellStyle name="Normal 2 2 4 30" xfId="328" xr:uid="{00000000-0005-0000-0000-000048010000}"/>
    <cellStyle name="Normal 2 2 4 31" xfId="329" xr:uid="{00000000-0005-0000-0000-000049010000}"/>
    <cellStyle name="Normal 2 2 4 32" xfId="330" xr:uid="{00000000-0005-0000-0000-00004A010000}"/>
    <cellStyle name="Normal 2 2 4 33" xfId="331" xr:uid="{00000000-0005-0000-0000-00004B010000}"/>
    <cellStyle name="Normal 2 2 4 34" xfId="332" xr:uid="{00000000-0005-0000-0000-00004C010000}"/>
    <cellStyle name="Normal 2 2 4 35" xfId="333" xr:uid="{00000000-0005-0000-0000-00004D010000}"/>
    <cellStyle name="Normal 2 2 4 36" xfId="334" xr:uid="{00000000-0005-0000-0000-00004E010000}"/>
    <cellStyle name="Normal 2 2 4 37" xfId="335" xr:uid="{00000000-0005-0000-0000-00004F010000}"/>
    <cellStyle name="Normal 2 2 4 38" xfId="336" xr:uid="{00000000-0005-0000-0000-000050010000}"/>
    <cellStyle name="Normal 2 2 4 39" xfId="337" xr:uid="{00000000-0005-0000-0000-000051010000}"/>
    <cellStyle name="Normal 2 2 4 4" xfId="338" xr:uid="{00000000-0005-0000-0000-000052010000}"/>
    <cellStyle name="Normal 2 2 4 40" xfId="339" xr:uid="{00000000-0005-0000-0000-000053010000}"/>
    <cellStyle name="Normal 2 2 4 41" xfId="340" xr:uid="{00000000-0005-0000-0000-000054010000}"/>
    <cellStyle name="Normal 2 2 4 42" xfId="341" xr:uid="{00000000-0005-0000-0000-000055010000}"/>
    <cellStyle name="Normal 2 2 4 43" xfId="342" xr:uid="{00000000-0005-0000-0000-000056010000}"/>
    <cellStyle name="Normal 2 2 4 44" xfId="343" xr:uid="{00000000-0005-0000-0000-000057010000}"/>
    <cellStyle name="Normal 2 2 4 45" xfId="344" xr:uid="{00000000-0005-0000-0000-000058010000}"/>
    <cellStyle name="Normal 2 2 4 46" xfId="345" xr:uid="{00000000-0005-0000-0000-000059010000}"/>
    <cellStyle name="Normal 2 2 4 47" xfId="346" xr:uid="{00000000-0005-0000-0000-00005A010000}"/>
    <cellStyle name="Normal 2 2 4 48" xfId="347" xr:uid="{00000000-0005-0000-0000-00005B010000}"/>
    <cellStyle name="Normal 2 2 4 49" xfId="348" xr:uid="{00000000-0005-0000-0000-00005C010000}"/>
    <cellStyle name="Normal 2 2 4 5" xfId="349" xr:uid="{00000000-0005-0000-0000-00005D010000}"/>
    <cellStyle name="Normal 2 2 4 50" xfId="350" xr:uid="{00000000-0005-0000-0000-00005E010000}"/>
    <cellStyle name="Normal 2 2 4 51" xfId="351" xr:uid="{00000000-0005-0000-0000-00005F010000}"/>
    <cellStyle name="Normal 2 2 4 52" xfId="352" xr:uid="{00000000-0005-0000-0000-000060010000}"/>
    <cellStyle name="Normal 2 2 4 53" xfId="353" xr:uid="{00000000-0005-0000-0000-000061010000}"/>
    <cellStyle name="Normal 2 2 4 54" xfId="354" xr:uid="{00000000-0005-0000-0000-000062010000}"/>
    <cellStyle name="Normal 2 2 4 55" xfId="355" xr:uid="{00000000-0005-0000-0000-000063010000}"/>
    <cellStyle name="Normal 2 2 4 56" xfId="356" xr:uid="{00000000-0005-0000-0000-000064010000}"/>
    <cellStyle name="Normal 2 2 4 57" xfId="357" xr:uid="{00000000-0005-0000-0000-000065010000}"/>
    <cellStyle name="Normal 2 2 4 58" xfId="358" xr:uid="{00000000-0005-0000-0000-000066010000}"/>
    <cellStyle name="Normal 2 2 4 59" xfId="359" xr:uid="{00000000-0005-0000-0000-000067010000}"/>
    <cellStyle name="Normal 2 2 4 6" xfId="360" xr:uid="{00000000-0005-0000-0000-000068010000}"/>
    <cellStyle name="Normal 2 2 4 60" xfId="361" xr:uid="{00000000-0005-0000-0000-000069010000}"/>
    <cellStyle name="Normal 2 2 4 61" xfId="362" xr:uid="{00000000-0005-0000-0000-00006A010000}"/>
    <cellStyle name="Normal 2 2 4 62" xfId="363" xr:uid="{00000000-0005-0000-0000-00006B010000}"/>
    <cellStyle name="Normal 2 2 4 63" xfId="364" xr:uid="{00000000-0005-0000-0000-00006C010000}"/>
    <cellStyle name="Normal 2 2 4 64" xfId="365" xr:uid="{00000000-0005-0000-0000-00006D010000}"/>
    <cellStyle name="Normal 2 2 4 65" xfId="366" xr:uid="{00000000-0005-0000-0000-00006E010000}"/>
    <cellStyle name="Normal 2 2 4 7" xfId="367" xr:uid="{00000000-0005-0000-0000-00006F010000}"/>
    <cellStyle name="Normal 2 2 4 8" xfId="368" xr:uid="{00000000-0005-0000-0000-000070010000}"/>
    <cellStyle name="Normal 2 2 4 9" xfId="369" xr:uid="{00000000-0005-0000-0000-000071010000}"/>
    <cellStyle name="Normal 2 2 4_100114_ReCiPe_endpoint_orginalversion-Sander" xfId="370" xr:uid="{00000000-0005-0000-0000-000072010000}"/>
    <cellStyle name="Normal 2 2 5" xfId="371" xr:uid="{00000000-0005-0000-0000-000073010000}"/>
    <cellStyle name="Normal 2 2 5 10" xfId="372" xr:uid="{00000000-0005-0000-0000-000074010000}"/>
    <cellStyle name="Normal 2 2 5 11" xfId="373" xr:uid="{00000000-0005-0000-0000-000075010000}"/>
    <cellStyle name="Normal 2 2 5 12" xfId="374" xr:uid="{00000000-0005-0000-0000-000076010000}"/>
    <cellStyle name="Normal 2 2 5 13" xfId="375" xr:uid="{00000000-0005-0000-0000-000077010000}"/>
    <cellStyle name="Normal 2 2 5 14" xfId="376" xr:uid="{00000000-0005-0000-0000-000078010000}"/>
    <cellStyle name="Normal 2 2 5 15" xfId="377" xr:uid="{00000000-0005-0000-0000-000079010000}"/>
    <cellStyle name="Normal 2 2 5 16" xfId="378" xr:uid="{00000000-0005-0000-0000-00007A010000}"/>
    <cellStyle name="Normal 2 2 5 17" xfId="379" xr:uid="{00000000-0005-0000-0000-00007B010000}"/>
    <cellStyle name="Normal 2 2 5 18" xfId="380" xr:uid="{00000000-0005-0000-0000-00007C010000}"/>
    <cellStyle name="Normal 2 2 5 19" xfId="381" xr:uid="{00000000-0005-0000-0000-00007D010000}"/>
    <cellStyle name="Normal 2 2 5 2" xfId="382" xr:uid="{00000000-0005-0000-0000-00007E010000}"/>
    <cellStyle name="Normal 2 2 5 20" xfId="383" xr:uid="{00000000-0005-0000-0000-00007F010000}"/>
    <cellStyle name="Normal 2 2 5 21" xfId="384" xr:uid="{00000000-0005-0000-0000-000080010000}"/>
    <cellStyle name="Normal 2 2 5 22" xfId="385" xr:uid="{00000000-0005-0000-0000-000081010000}"/>
    <cellStyle name="Normal 2 2 5 23" xfId="386" xr:uid="{00000000-0005-0000-0000-000082010000}"/>
    <cellStyle name="Normal 2 2 5 24" xfId="387" xr:uid="{00000000-0005-0000-0000-000083010000}"/>
    <cellStyle name="Normal 2 2 5 25" xfId="388" xr:uid="{00000000-0005-0000-0000-000084010000}"/>
    <cellStyle name="Normal 2 2 5 26" xfId="389" xr:uid="{00000000-0005-0000-0000-000085010000}"/>
    <cellStyle name="Normal 2 2 5 27" xfId="390" xr:uid="{00000000-0005-0000-0000-000086010000}"/>
    <cellStyle name="Normal 2 2 5 28" xfId="391" xr:uid="{00000000-0005-0000-0000-000087010000}"/>
    <cellStyle name="Normal 2 2 5 29" xfId="392" xr:uid="{00000000-0005-0000-0000-000088010000}"/>
    <cellStyle name="Normal 2 2 5 3" xfId="393" xr:uid="{00000000-0005-0000-0000-000089010000}"/>
    <cellStyle name="Normal 2 2 5 30" xfId="394" xr:uid="{00000000-0005-0000-0000-00008A010000}"/>
    <cellStyle name="Normal 2 2 5 31" xfId="395" xr:uid="{00000000-0005-0000-0000-00008B010000}"/>
    <cellStyle name="Normal 2 2 5 32" xfId="396" xr:uid="{00000000-0005-0000-0000-00008C010000}"/>
    <cellStyle name="Normal 2 2 5 33" xfId="397" xr:uid="{00000000-0005-0000-0000-00008D010000}"/>
    <cellStyle name="Normal 2 2 5 34" xfId="398" xr:uid="{00000000-0005-0000-0000-00008E010000}"/>
    <cellStyle name="Normal 2 2 5 35" xfId="399" xr:uid="{00000000-0005-0000-0000-00008F010000}"/>
    <cellStyle name="Normal 2 2 5 36" xfId="400" xr:uid="{00000000-0005-0000-0000-000090010000}"/>
    <cellStyle name="Normal 2 2 5 37" xfId="401" xr:uid="{00000000-0005-0000-0000-000091010000}"/>
    <cellStyle name="Normal 2 2 5 38" xfId="402" xr:uid="{00000000-0005-0000-0000-000092010000}"/>
    <cellStyle name="Normal 2 2 5 39" xfId="403" xr:uid="{00000000-0005-0000-0000-000093010000}"/>
    <cellStyle name="Normal 2 2 5 4" xfId="404" xr:uid="{00000000-0005-0000-0000-000094010000}"/>
    <cellStyle name="Normal 2 2 5 40" xfId="405" xr:uid="{00000000-0005-0000-0000-000095010000}"/>
    <cellStyle name="Normal 2 2 5 41" xfId="406" xr:uid="{00000000-0005-0000-0000-000096010000}"/>
    <cellStyle name="Normal 2 2 5 42" xfId="407" xr:uid="{00000000-0005-0000-0000-000097010000}"/>
    <cellStyle name="Normal 2 2 5 43" xfId="408" xr:uid="{00000000-0005-0000-0000-000098010000}"/>
    <cellStyle name="Normal 2 2 5 44" xfId="409" xr:uid="{00000000-0005-0000-0000-000099010000}"/>
    <cellStyle name="Normal 2 2 5 45" xfId="410" xr:uid="{00000000-0005-0000-0000-00009A010000}"/>
    <cellStyle name="Normal 2 2 5 46" xfId="411" xr:uid="{00000000-0005-0000-0000-00009B010000}"/>
    <cellStyle name="Normal 2 2 5 47" xfId="412" xr:uid="{00000000-0005-0000-0000-00009C010000}"/>
    <cellStyle name="Normal 2 2 5 48" xfId="413" xr:uid="{00000000-0005-0000-0000-00009D010000}"/>
    <cellStyle name="Normal 2 2 5 49" xfId="414" xr:uid="{00000000-0005-0000-0000-00009E010000}"/>
    <cellStyle name="Normal 2 2 5 5" xfId="415" xr:uid="{00000000-0005-0000-0000-00009F010000}"/>
    <cellStyle name="Normal 2 2 5 50" xfId="416" xr:uid="{00000000-0005-0000-0000-0000A0010000}"/>
    <cellStyle name="Normal 2 2 5 51" xfId="417" xr:uid="{00000000-0005-0000-0000-0000A1010000}"/>
    <cellStyle name="Normal 2 2 5 52" xfId="418" xr:uid="{00000000-0005-0000-0000-0000A2010000}"/>
    <cellStyle name="Normal 2 2 5 53" xfId="419" xr:uid="{00000000-0005-0000-0000-0000A3010000}"/>
    <cellStyle name="Normal 2 2 5 54" xfId="420" xr:uid="{00000000-0005-0000-0000-0000A4010000}"/>
    <cellStyle name="Normal 2 2 5 55" xfId="421" xr:uid="{00000000-0005-0000-0000-0000A5010000}"/>
    <cellStyle name="Normal 2 2 5 56" xfId="422" xr:uid="{00000000-0005-0000-0000-0000A6010000}"/>
    <cellStyle name="Normal 2 2 5 57" xfId="423" xr:uid="{00000000-0005-0000-0000-0000A7010000}"/>
    <cellStyle name="Normal 2 2 5 58" xfId="424" xr:uid="{00000000-0005-0000-0000-0000A8010000}"/>
    <cellStyle name="Normal 2 2 5 59" xfId="425" xr:uid="{00000000-0005-0000-0000-0000A9010000}"/>
    <cellStyle name="Normal 2 2 5 6" xfId="426" xr:uid="{00000000-0005-0000-0000-0000AA010000}"/>
    <cellStyle name="Normal 2 2 5 60" xfId="427" xr:uid="{00000000-0005-0000-0000-0000AB010000}"/>
    <cellStyle name="Normal 2 2 5 61" xfId="428" xr:uid="{00000000-0005-0000-0000-0000AC010000}"/>
    <cellStyle name="Normal 2 2 5 62" xfId="429" xr:uid="{00000000-0005-0000-0000-0000AD010000}"/>
    <cellStyle name="Normal 2 2 5 63" xfId="430" xr:uid="{00000000-0005-0000-0000-0000AE010000}"/>
    <cellStyle name="Normal 2 2 5 64" xfId="431" xr:uid="{00000000-0005-0000-0000-0000AF010000}"/>
    <cellStyle name="Normal 2 2 5 65" xfId="432" xr:uid="{00000000-0005-0000-0000-0000B0010000}"/>
    <cellStyle name="Normal 2 2 5 7" xfId="433" xr:uid="{00000000-0005-0000-0000-0000B1010000}"/>
    <cellStyle name="Normal 2 2 5 8" xfId="434" xr:uid="{00000000-0005-0000-0000-0000B2010000}"/>
    <cellStyle name="Normal 2 2 5 9" xfId="435" xr:uid="{00000000-0005-0000-0000-0000B3010000}"/>
    <cellStyle name="Normal 2 2 5_100114_ReCiPe_endpoint_orginalversion-Sander" xfId="436" xr:uid="{00000000-0005-0000-0000-0000B4010000}"/>
    <cellStyle name="Normal 2 2 6" xfId="437" xr:uid="{00000000-0005-0000-0000-0000B5010000}"/>
    <cellStyle name="Normal 2 2 6 10" xfId="438" xr:uid="{00000000-0005-0000-0000-0000B6010000}"/>
    <cellStyle name="Normal 2 2 6 11" xfId="439" xr:uid="{00000000-0005-0000-0000-0000B7010000}"/>
    <cellStyle name="Normal 2 2 6 12" xfId="440" xr:uid="{00000000-0005-0000-0000-0000B8010000}"/>
    <cellStyle name="Normal 2 2 6 13" xfId="441" xr:uid="{00000000-0005-0000-0000-0000B9010000}"/>
    <cellStyle name="Normal 2 2 6 14" xfId="442" xr:uid="{00000000-0005-0000-0000-0000BA010000}"/>
    <cellStyle name="Normal 2 2 6 15" xfId="443" xr:uid="{00000000-0005-0000-0000-0000BB010000}"/>
    <cellStyle name="Normal 2 2 6 16" xfId="444" xr:uid="{00000000-0005-0000-0000-0000BC010000}"/>
    <cellStyle name="Normal 2 2 6 17" xfId="445" xr:uid="{00000000-0005-0000-0000-0000BD010000}"/>
    <cellStyle name="Normal 2 2 6 18" xfId="446" xr:uid="{00000000-0005-0000-0000-0000BE010000}"/>
    <cellStyle name="Normal 2 2 6 19" xfId="447" xr:uid="{00000000-0005-0000-0000-0000BF010000}"/>
    <cellStyle name="Normal 2 2 6 2" xfId="448" xr:uid="{00000000-0005-0000-0000-0000C0010000}"/>
    <cellStyle name="Normal 2 2 6 20" xfId="449" xr:uid="{00000000-0005-0000-0000-0000C1010000}"/>
    <cellStyle name="Normal 2 2 6 21" xfId="450" xr:uid="{00000000-0005-0000-0000-0000C2010000}"/>
    <cellStyle name="Normal 2 2 6 22" xfId="451" xr:uid="{00000000-0005-0000-0000-0000C3010000}"/>
    <cellStyle name="Normal 2 2 6 23" xfId="452" xr:uid="{00000000-0005-0000-0000-0000C4010000}"/>
    <cellStyle name="Normal 2 2 6 24" xfId="453" xr:uid="{00000000-0005-0000-0000-0000C5010000}"/>
    <cellStyle name="Normal 2 2 6 25" xfId="454" xr:uid="{00000000-0005-0000-0000-0000C6010000}"/>
    <cellStyle name="Normal 2 2 6 26" xfId="455" xr:uid="{00000000-0005-0000-0000-0000C7010000}"/>
    <cellStyle name="Normal 2 2 6 27" xfId="456" xr:uid="{00000000-0005-0000-0000-0000C8010000}"/>
    <cellStyle name="Normal 2 2 6 28" xfId="457" xr:uid="{00000000-0005-0000-0000-0000C9010000}"/>
    <cellStyle name="Normal 2 2 6 29" xfId="458" xr:uid="{00000000-0005-0000-0000-0000CA010000}"/>
    <cellStyle name="Normal 2 2 6 3" xfId="459" xr:uid="{00000000-0005-0000-0000-0000CB010000}"/>
    <cellStyle name="Normal 2 2 6 30" xfId="460" xr:uid="{00000000-0005-0000-0000-0000CC010000}"/>
    <cellStyle name="Normal 2 2 6 31" xfId="461" xr:uid="{00000000-0005-0000-0000-0000CD010000}"/>
    <cellStyle name="Normal 2 2 6 32" xfId="462" xr:uid="{00000000-0005-0000-0000-0000CE010000}"/>
    <cellStyle name="Normal 2 2 6 33" xfId="463" xr:uid="{00000000-0005-0000-0000-0000CF010000}"/>
    <cellStyle name="Normal 2 2 6 34" xfId="464" xr:uid="{00000000-0005-0000-0000-0000D0010000}"/>
    <cellStyle name="Normal 2 2 6 35" xfId="465" xr:uid="{00000000-0005-0000-0000-0000D1010000}"/>
    <cellStyle name="Normal 2 2 6 36" xfId="466" xr:uid="{00000000-0005-0000-0000-0000D2010000}"/>
    <cellStyle name="Normal 2 2 6 37" xfId="467" xr:uid="{00000000-0005-0000-0000-0000D3010000}"/>
    <cellStyle name="Normal 2 2 6 38" xfId="468" xr:uid="{00000000-0005-0000-0000-0000D4010000}"/>
    <cellStyle name="Normal 2 2 6 39" xfId="469" xr:uid="{00000000-0005-0000-0000-0000D5010000}"/>
    <cellStyle name="Normal 2 2 6 4" xfId="470" xr:uid="{00000000-0005-0000-0000-0000D6010000}"/>
    <cellStyle name="Normal 2 2 6 40" xfId="471" xr:uid="{00000000-0005-0000-0000-0000D7010000}"/>
    <cellStyle name="Normal 2 2 6 41" xfId="472" xr:uid="{00000000-0005-0000-0000-0000D8010000}"/>
    <cellStyle name="Normal 2 2 6 42" xfId="473" xr:uid="{00000000-0005-0000-0000-0000D9010000}"/>
    <cellStyle name="Normal 2 2 6 43" xfId="474" xr:uid="{00000000-0005-0000-0000-0000DA010000}"/>
    <cellStyle name="Normal 2 2 6 44" xfId="475" xr:uid="{00000000-0005-0000-0000-0000DB010000}"/>
    <cellStyle name="Normal 2 2 6 45" xfId="476" xr:uid="{00000000-0005-0000-0000-0000DC010000}"/>
    <cellStyle name="Normal 2 2 6 46" xfId="477" xr:uid="{00000000-0005-0000-0000-0000DD010000}"/>
    <cellStyle name="Normal 2 2 6 47" xfId="478" xr:uid="{00000000-0005-0000-0000-0000DE010000}"/>
    <cellStyle name="Normal 2 2 6 48" xfId="479" xr:uid="{00000000-0005-0000-0000-0000DF010000}"/>
    <cellStyle name="Normal 2 2 6 49" xfId="480" xr:uid="{00000000-0005-0000-0000-0000E0010000}"/>
    <cellStyle name="Normal 2 2 6 5" xfId="481" xr:uid="{00000000-0005-0000-0000-0000E1010000}"/>
    <cellStyle name="Normal 2 2 6 50" xfId="482" xr:uid="{00000000-0005-0000-0000-0000E2010000}"/>
    <cellStyle name="Normal 2 2 6 51" xfId="483" xr:uid="{00000000-0005-0000-0000-0000E3010000}"/>
    <cellStyle name="Normal 2 2 6 52" xfId="484" xr:uid="{00000000-0005-0000-0000-0000E4010000}"/>
    <cellStyle name="Normal 2 2 6 53" xfId="485" xr:uid="{00000000-0005-0000-0000-0000E5010000}"/>
    <cellStyle name="Normal 2 2 6 54" xfId="486" xr:uid="{00000000-0005-0000-0000-0000E6010000}"/>
    <cellStyle name="Normal 2 2 6 55" xfId="487" xr:uid="{00000000-0005-0000-0000-0000E7010000}"/>
    <cellStyle name="Normal 2 2 6 56" xfId="488" xr:uid="{00000000-0005-0000-0000-0000E8010000}"/>
    <cellStyle name="Normal 2 2 6 57" xfId="489" xr:uid="{00000000-0005-0000-0000-0000E9010000}"/>
    <cellStyle name="Normal 2 2 6 58" xfId="490" xr:uid="{00000000-0005-0000-0000-0000EA010000}"/>
    <cellStyle name="Normal 2 2 6 59" xfId="491" xr:uid="{00000000-0005-0000-0000-0000EB010000}"/>
    <cellStyle name="Normal 2 2 6 6" xfId="492" xr:uid="{00000000-0005-0000-0000-0000EC010000}"/>
    <cellStyle name="Normal 2 2 6 60" xfId="493" xr:uid="{00000000-0005-0000-0000-0000ED010000}"/>
    <cellStyle name="Normal 2 2 6 61" xfId="494" xr:uid="{00000000-0005-0000-0000-0000EE010000}"/>
    <cellStyle name="Normal 2 2 6 62" xfId="495" xr:uid="{00000000-0005-0000-0000-0000EF010000}"/>
    <cellStyle name="Normal 2 2 6 63" xfId="496" xr:uid="{00000000-0005-0000-0000-0000F0010000}"/>
    <cellStyle name="Normal 2 2 6 64" xfId="497" xr:uid="{00000000-0005-0000-0000-0000F1010000}"/>
    <cellStyle name="Normal 2 2 6 65" xfId="498" xr:uid="{00000000-0005-0000-0000-0000F2010000}"/>
    <cellStyle name="Normal 2 2 6 7" xfId="499" xr:uid="{00000000-0005-0000-0000-0000F3010000}"/>
    <cellStyle name="Normal 2 2 6 8" xfId="500" xr:uid="{00000000-0005-0000-0000-0000F4010000}"/>
    <cellStyle name="Normal 2 2 6 9" xfId="501" xr:uid="{00000000-0005-0000-0000-0000F5010000}"/>
    <cellStyle name="Normal 2 2 6_100114_ReCiPe_endpoint_orginalversion-Sander" xfId="502" xr:uid="{00000000-0005-0000-0000-0000F6010000}"/>
    <cellStyle name="Normal 2 2 7" xfId="503" xr:uid="{00000000-0005-0000-0000-0000F7010000}"/>
    <cellStyle name="Normal 2 2 7 10" xfId="504" xr:uid="{00000000-0005-0000-0000-0000F8010000}"/>
    <cellStyle name="Normal 2 2 7 11" xfId="505" xr:uid="{00000000-0005-0000-0000-0000F9010000}"/>
    <cellStyle name="Normal 2 2 7 12" xfId="506" xr:uid="{00000000-0005-0000-0000-0000FA010000}"/>
    <cellStyle name="Normal 2 2 7 13" xfId="507" xr:uid="{00000000-0005-0000-0000-0000FB010000}"/>
    <cellStyle name="Normal 2 2 7 14" xfId="508" xr:uid="{00000000-0005-0000-0000-0000FC010000}"/>
    <cellStyle name="Normal 2 2 7 15" xfId="509" xr:uid="{00000000-0005-0000-0000-0000FD010000}"/>
    <cellStyle name="Normal 2 2 7 16" xfId="510" xr:uid="{00000000-0005-0000-0000-0000FE010000}"/>
    <cellStyle name="Normal 2 2 7 17" xfId="511" xr:uid="{00000000-0005-0000-0000-0000FF010000}"/>
    <cellStyle name="Normal 2 2 7 18" xfId="512" xr:uid="{00000000-0005-0000-0000-000000020000}"/>
    <cellStyle name="Normal 2 2 7 19" xfId="513" xr:uid="{00000000-0005-0000-0000-000001020000}"/>
    <cellStyle name="Normal 2 2 7 2" xfId="514" xr:uid="{00000000-0005-0000-0000-000002020000}"/>
    <cellStyle name="Normal 2 2 7 20" xfId="515" xr:uid="{00000000-0005-0000-0000-000003020000}"/>
    <cellStyle name="Normal 2 2 7 21" xfId="516" xr:uid="{00000000-0005-0000-0000-000004020000}"/>
    <cellStyle name="Normal 2 2 7 22" xfId="517" xr:uid="{00000000-0005-0000-0000-000005020000}"/>
    <cellStyle name="Normal 2 2 7 23" xfId="518" xr:uid="{00000000-0005-0000-0000-000006020000}"/>
    <cellStyle name="Normal 2 2 7 24" xfId="519" xr:uid="{00000000-0005-0000-0000-000007020000}"/>
    <cellStyle name="Normal 2 2 7 25" xfId="520" xr:uid="{00000000-0005-0000-0000-000008020000}"/>
    <cellStyle name="Normal 2 2 7 26" xfId="521" xr:uid="{00000000-0005-0000-0000-000009020000}"/>
    <cellStyle name="Normal 2 2 7 27" xfId="522" xr:uid="{00000000-0005-0000-0000-00000A020000}"/>
    <cellStyle name="Normal 2 2 7 28" xfId="523" xr:uid="{00000000-0005-0000-0000-00000B020000}"/>
    <cellStyle name="Normal 2 2 7 29" xfId="524" xr:uid="{00000000-0005-0000-0000-00000C020000}"/>
    <cellStyle name="Normal 2 2 7 3" xfId="525" xr:uid="{00000000-0005-0000-0000-00000D020000}"/>
    <cellStyle name="Normal 2 2 7 30" xfId="526" xr:uid="{00000000-0005-0000-0000-00000E020000}"/>
    <cellStyle name="Normal 2 2 7 31" xfId="527" xr:uid="{00000000-0005-0000-0000-00000F020000}"/>
    <cellStyle name="Normal 2 2 7 32" xfId="528" xr:uid="{00000000-0005-0000-0000-000010020000}"/>
    <cellStyle name="Normal 2 2 7 33" xfId="529" xr:uid="{00000000-0005-0000-0000-000011020000}"/>
    <cellStyle name="Normal 2 2 7 34" xfId="530" xr:uid="{00000000-0005-0000-0000-000012020000}"/>
    <cellStyle name="Normal 2 2 7 35" xfId="531" xr:uid="{00000000-0005-0000-0000-000013020000}"/>
    <cellStyle name="Normal 2 2 7 36" xfId="532" xr:uid="{00000000-0005-0000-0000-000014020000}"/>
    <cellStyle name="Normal 2 2 7 37" xfId="533" xr:uid="{00000000-0005-0000-0000-000015020000}"/>
    <cellStyle name="Normal 2 2 7 38" xfId="534" xr:uid="{00000000-0005-0000-0000-000016020000}"/>
    <cellStyle name="Normal 2 2 7 39" xfId="535" xr:uid="{00000000-0005-0000-0000-000017020000}"/>
    <cellStyle name="Normal 2 2 7 4" xfId="536" xr:uid="{00000000-0005-0000-0000-000018020000}"/>
    <cellStyle name="Normal 2 2 7 40" xfId="537" xr:uid="{00000000-0005-0000-0000-000019020000}"/>
    <cellStyle name="Normal 2 2 7 41" xfId="538" xr:uid="{00000000-0005-0000-0000-00001A020000}"/>
    <cellStyle name="Normal 2 2 7 42" xfId="539" xr:uid="{00000000-0005-0000-0000-00001B020000}"/>
    <cellStyle name="Normal 2 2 7 43" xfId="540" xr:uid="{00000000-0005-0000-0000-00001C020000}"/>
    <cellStyle name="Normal 2 2 7 44" xfId="541" xr:uid="{00000000-0005-0000-0000-00001D020000}"/>
    <cellStyle name="Normal 2 2 7 45" xfId="542" xr:uid="{00000000-0005-0000-0000-00001E020000}"/>
    <cellStyle name="Normal 2 2 7 46" xfId="543" xr:uid="{00000000-0005-0000-0000-00001F020000}"/>
    <cellStyle name="Normal 2 2 7 47" xfId="544" xr:uid="{00000000-0005-0000-0000-000020020000}"/>
    <cellStyle name="Normal 2 2 7 48" xfId="545" xr:uid="{00000000-0005-0000-0000-000021020000}"/>
    <cellStyle name="Normal 2 2 7 49" xfId="546" xr:uid="{00000000-0005-0000-0000-000022020000}"/>
    <cellStyle name="Normal 2 2 7 5" xfId="547" xr:uid="{00000000-0005-0000-0000-000023020000}"/>
    <cellStyle name="Normal 2 2 7 50" xfId="548" xr:uid="{00000000-0005-0000-0000-000024020000}"/>
    <cellStyle name="Normal 2 2 7 51" xfId="549" xr:uid="{00000000-0005-0000-0000-000025020000}"/>
    <cellStyle name="Normal 2 2 7 52" xfId="550" xr:uid="{00000000-0005-0000-0000-000026020000}"/>
    <cellStyle name="Normal 2 2 7 53" xfId="551" xr:uid="{00000000-0005-0000-0000-000027020000}"/>
    <cellStyle name="Normal 2 2 7 54" xfId="552" xr:uid="{00000000-0005-0000-0000-000028020000}"/>
    <cellStyle name="Normal 2 2 7 55" xfId="553" xr:uid="{00000000-0005-0000-0000-000029020000}"/>
    <cellStyle name="Normal 2 2 7 56" xfId="554" xr:uid="{00000000-0005-0000-0000-00002A020000}"/>
    <cellStyle name="Normal 2 2 7 57" xfId="555" xr:uid="{00000000-0005-0000-0000-00002B020000}"/>
    <cellStyle name="Normal 2 2 7 58" xfId="556" xr:uid="{00000000-0005-0000-0000-00002C020000}"/>
    <cellStyle name="Normal 2 2 7 59" xfId="557" xr:uid="{00000000-0005-0000-0000-00002D020000}"/>
    <cellStyle name="Normal 2 2 7 6" xfId="558" xr:uid="{00000000-0005-0000-0000-00002E020000}"/>
    <cellStyle name="Normal 2 2 7 60" xfId="559" xr:uid="{00000000-0005-0000-0000-00002F020000}"/>
    <cellStyle name="Normal 2 2 7 61" xfId="560" xr:uid="{00000000-0005-0000-0000-000030020000}"/>
    <cellStyle name="Normal 2 2 7 62" xfId="561" xr:uid="{00000000-0005-0000-0000-000031020000}"/>
    <cellStyle name="Normal 2 2 7 63" xfId="562" xr:uid="{00000000-0005-0000-0000-000032020000}"/>
    <cellStyle name="Normal 2 2 7 64" xfId="563" xr:uid="{00000000-0005-0000-0000-000033020000}"/>
    <cellStyle name="Normal 2 2 7 65" xfId="564" xr:uid="{00000000-0005-0000-0000-000034020000}"/>
    <cellStyle name="Normal 2 2 7 7" xfId="565" xr:uid="{00000000-0005-0000-0000-000035020000}"/>
    <cellStyle name="Normal 2 2 7 8" xfId="566" xr:uid="{00000000-0005-0000-0000-000036020000}"/>
    <cellStyle name="Normal 2 2 7 9" xfId="567" xr:uid="{00000000-0005-0000-0000-000037020000}"/>
    <cellStyle name="Normal 2 2 7_100114_ReCiPe_endpoint_orginalversion-Sander" xfId="568" xr:uid="{00000000-0005-0000-0000-000038020000}"/>
    <cellStyle name="Normal 2 2 8" xfId="569" xr:uid="{00000000-0005-0000-0000-000039020000}"/>
    <cellStyle name="Normal 2 2 8 10" xfId="570" xr:uid="{00000000-0005-0000-0000-00003A020000}"/>
    <cellStyle name="Normal 2 2 8 11" xfId="571" xr:uid="{00000000-0005-0000-0000-00003B020000}"/>
    <cellStyle name="Normal 2 2 8 12" xfId="572" xr:uid="{00000000-0005-0000-0000-00003C020000}"/>
    <cellStyle name="Normal 2 2 8 13" xfId="573" xr:uid="{00000000-0005-0000-0000-00003D020000}"/>
    <cellStyle name="Normal 2 2 8 14" xfId="574" xr:uid="{00000000-0005-0000-0000-00003E020000}"/>
    <cellStyle name="Normal 2 2 8 15" xfId="575" xr:uid="{00000000-0005-0000-0000-00003F020000}"/>
    <cellStyle name="Normal 2 2 8 16" xfId="576" xr:uid="{00000000-0005-0000-0000-000040020000}"/>
    <cellStyle name="Normal 2 2 8 17" xfId="577" xr:uid="{00000000-0005-0000-0000-000041020000}"/>
    <cellStyle name="Normal 2 2 8 18" xfId="578" xr:uid="{00000000-0005-0000-0000-000042020000}"/>
    <cellStyle name="Normal 2 2 8 19" xfId="579" xr:uid="{00000000-0005-0000-0000-000043020000}"/>
    <cellStyle name="Normal 2 2 8 2" xfId="580" xr:uid="{00000000-0005-0000-0000-000044020000}"/>
    <cellStyle name="Normal 2 2 8 20" xfId="581" xr:uid="{00000000-0005-0000-0000-000045020000}"/>
    <cellStyle name="Normal 2 2 8 21" xfId="582" xr:uid="{00000000-0005-0000-0000-000046020000}"/>
    <cellStyle name="Normal 2 2 8 22" xfId="583" xr:uid="{00000000-0005-0000-0000-000047020000}"/>
    <cellStyle name="Normal 2 2 8 23" xfId="584" xr:uid="{00000000-0005-0000-0000-000048020000}"/>
    <cellStyle name="Normal 2 2 8 24" xfId="585" xr:uid="{00000000-0005-0000-0000-000049020000}"/>
    <cellStyle name="Normal 2 2 8 25" xfId="586" xr:uid="{00000000-0005-0000-0000-00004A020000}"/>
    <cellStyle name="Normal 2 2 8 26" xfId="587" xr:uid="{00000000-0005-0000-0000-00004B020000}"/>
    <cellStyle name="Normal 2 2 8 27" xfId="588" xr:uid="{00000000-0005-0000-0000-00004C020000}"/>
    <cellStyle name="Normal 2 2 8 28" xfId="589" xr:uid="{00000000-0005-0000-0000-00004D020000}"/>
    <cellStyle name="Normal 2 2 8 29" xfId="590" xr:uid="{00000000-0005-0000-0000-00004E020000}"/>
    <cellStyle name="Normal 2 2 8 3" xfId="591" xr:uid="{00000000-0005-0000-0000-00004F020000}"/>
    <cellStyle name="Normal 2 2 8 30" xfId="592" xr:uid="{00000000-0005-0000-0000-000050020000}"/>
    <cellStyle name="Normal 2 2 8 31" xfId="593" xr:uid="{00000000-0005-0000-0000-000051020000}"/>
    <cellStyle name="Normal 2 2 8 32" xfId="594" xr:uid="{00000000-0005-0000-0000-000052020000}"/>
    <cellStyle name="Normal 2 2 8 33" xfId="595" xr:uid="{00000000-0005-0000-0000-000053020000}"/>
    <cellStyle name="Normal 2 2 8 34" xfId="596" xr:uid="{00000000-0005-0000-0000-000054020000}"/>
    <cellStyle name="Normal 2 2 8 35" xfId="597" xr:uid="{00000000-0005-0000-0000-000055020000}"/>
    <cellStyle name="Normal 2 2 8 36" xfId="598" xr:uid="{00000000-0005-0000-0000-000056020000}"/>
    <cellStyle name="Normal 2 2 8 37" xfId="599" xr:uid="{00000000-0005-0000-0000-000057020000}"/>
    <cellStyle name="Normal 2 2 8 38" xfId="600" xr:uid="{00000000-0005-0000-0000-000058020000}"/>
    <cellStyle name="Normal 2 2 8 39" xfId="601" xr:uid="{00000000-0005-0000-0000-000059020000}"/>
    <cellStyle name="Normal 2 2 8 4" xfId="602" xr:uid="{00000000-0005-0000-0000-00005A020000}"/>
    <cellStyle name="Normal 2 2 8 40" xfId="603" xr:uid="{00000000-0005-0000-0000-00005B020000}"/>
    <cellStyle name="Normal 2 2 8 41" xfId="604" xr:uid="{00000000-0005-0000-0000-00005C020000}"/>
    <cellStyle name="Normal 2 2 8 42" xfId="605" xr:uid="{00000000-0005-0000-0000-00005D020000}"/>
    <cellStyle name="Normal 2 2 8 43" xfId="606" xr:uid="{00000000-0005-0000-0000-00005E020000}"/>
    <cellStyle name="Normal 2 2 8 44" xfId="607" xr:uid="{00000000-0005-0000-0000-00005F020000}"/>
    <cellStyle name="Normal 2 2 8 45" xfId="608" xr:uid="{00000000-0005-0000-0000-000060020000}"/>
    <cellStyle name="Normal 2 2 8 46" xfId="609" xr:uid="{00000000-0005-0000-0000-000061020000}"/>
    <cellStyle name="Normal 2 2 8 47" xfId="610" xr:uid="{00000000-0005-0000-0000-000062020000}"/>
    <cellStyle name="Normal 2 2 8 48" xfId="611" xr:uid="{00000000-0005-0000-0000-000063020000}"/>
    <cellStyle name="Normal 2 2 8 49" xfId="612" xr:uid="{00000000-0005-0000-0000-000064020000}"/>
    <cellStyle name="Normal 2 2 8 5" xfId="613" xr:uid="{00000000-0005-0000-0000-000065020000}"/>
    <cellStyle name="Normal 2 2 8 50" xfId="614" xr:uid="{00000000-0005-0000-0000-000066020000}"/>
    <cellStyle name="Normal 2 2 8 51" xfId="615" xr:uid="{00000000-0005-0000-0000-000067020000}"/>
    <cellStyle name="Normal 2 2 8 52" xfId="616" xr:uid="{00000000-0005-0000-0000-000068020000}"/>
    <cellStyle name="Normal 2 2 8 53" xfId="617" xr:uid="{00000000-0005-0000-0000-000069020000}"/>
    <cellStyle name="Normal 2 2 8 54" xfId="618" xr:uid="{00000000-0005-0000-0000-00006A020000}"/>
    <cellStyle name="Normal 2 2 8 55" xfId="619" xr:uid="{00000000-0005-0000-0000-00006B020000}"/>
    <cellStyle name="Normal 2 2 8 56" xfId="620" xr:uid="{00000000-0005-0000-0000-00006C020000}"/>
    <cellStyle name="Normal 2 2 8 57" xfId="621" xr:uid="{00000000-0005-0000-0000-00006D020000}"/>
    <cellStyle name="Normal 2 2 8 58" xfId="622" xr:uid="{00000000-0005-0000-0000-00006E020000}"/>
    <cellStyle name="Normal 2 2 8 59" xfId="623" xr:uid="{00000000-0005-0000-0000-00006F020000}"/>
    <cellStyle name="Normal 2 2 8 6" xfId="624" xr:uid="{00000000-0005-0000-0000-000070020000}"/>
    <cellStyle name="Normal 2 2 8 60" xfId="625" xr:uid="{00000000-0005-0000-0000-000071020000}"/>
    <cellStyle name="Normal 2 2 8 61" xfId="626" xr:uid="{00000000-0005-0000-0000-000072020000}"/>
    <cellStyle name="Normal 2 2 8 62" xfId="627" xr:uid="{00000000-0005-0000-0000-000073020000}"/>
    <cellStyle name="Normal 2 2 8 63" xfId="628" xr:uid="{00000000-0005-0000-0000-000074020000}"/>
    <cellStyle name="Normal 2 2 8 64" xfId="629" xr:uid="{00000000-0005-0000-0000-000075020000}"/>
    <cellStyle name="Normal 2 2 8 65" xfId="630" xr:uid="{00000000-0005-0000-0000-000076020000}"/>
    <cellStyle name="Normal 2 2 8 7" xfId="631" xr:uid="{00000000-0005-0000-0000-000077020000}"/>
    <cellStyle name="Normal 2 2 8 8" xfId="632" xr:uid="{00000000-0005-0000-0000-000078020000}"/>
    <cellStyle name="Normal 2 2 8 9" xfId="633" xr:uid="{00000000-0005-0000-0000-000079020000}"/>
    <cellStyle name="Normal 2 2 8_100114_ReCiPe_endpoint_orginalversion-Sander" xfId="634" xr:uid="{00000000-0005-0000-0000-00007A020000}"/>
    <cellStyle name="Normal 2 20" xfId="635" xr:uid="{00000000-0005-0000-0000-00007B020000}"/>
    <cellStyle name="Normal 2 20 10" xfId="636" xr:uid="{00000000-0005-0000-0000-00007C020000}"/>
    <cellStyle name="Normal 2 20 11" xfId="637" xr:uid="{00000000-0005-0000-0000-00007D020000}"/>
    <cellStyle name="Normal 2 20 12" xfId="638" xr:uid="{00000000-0005-0000-0000-00007E020000}"/>
    <cellStyle name="Normal 2 20 13" xfId="639" xr:uid="{00000000-0005-0000-0000-00007F020000}"/>
    <cellStyle name="Normal 2 20 2" xfId="640" xr:uid="{00000000-0005-0000-0000-000080020000}"/>
    <cellStyle name="Normal 2 20 3" xfId="641" xr:uid="{00000000-0005-0000-0000-000081020000}"/>
    <cellStyle name="Normal 2 20 4" xfId="642" xr:uid="{00000000-0005-0000-0000-000082020000}"/>
    <cellStyle name="Normal 2 20 5" xfId="643" xr:uid="{00000000-0005-0000-0000-000083020000}"/>
    <cellStyle name="Normal 2 20 6" xfId="644" xr:uid="{00000000-0005-0000-0000-000084020000}"/>
    <cellStyle name="Normal 2 20 7" xfId="645" xr:uid="{00000000-0005-0000-0000-000085020000}"/>
    <cellStyle name="Normal 2 20 8" xfId="646" xr:uid="{00000000-0005-0000-0000-000086020000}"/>
    <cellStyle name="Normal 2 20 9" xfId="647" xr:uid="{00000000-0005-0000-0000-000087020000}"/>
    <cellStyle name="Normal 2 20_100114_ReCiPe_endpoint_orginalversion-Sander" xfId="648" xr:uid="{00000000-0005-0000-0000-000088020000}"/>
    <cellStyle name="Normal 2 21" xfId="649" xr:uid="{00000000-0005-0000-0000-000089020000}"/>
    <cellStyle name="Normal 2 21 10" xfId="650" xr:uid="{00000000-0005-0000-0000-00008A020000}"/>
    <cellStyle name="Normal 2 21 11" xfId="651" xr:uid="{00000000-0005-0000-0000-00008B020000}"/>
    <cellStyle name="Normal 2 21 12" xfId="652" xr:uid="{00000000-0005-0000-0000-00008C020000}"/>
    <cellStyle name="Normal 2 21 13" xfId="653" xr:uid="{00000000-0005-0000-0000-00008D020000}"/>
    <cellStyle name="Normal 2 21 2" xfId="654" xr:uid="{00000000-0005-0000-0000-00008E020000}"/>
    <cellStyle name="Normal 2 21 3" xfId="655" xr:uid="{00000000-0005-0000-0000-00008F020000}"/>
    <cellStyle name="Normal 2 21 4" xfId="656" xr:uid="{00000000-0005-0000-0000-000090020000}"/>
    <cellStyle name="Normal 2 21 5" xfId="657" xr:uid="{00000000-0005-0000-0000-000091020000}"/>
    <cellStyle name="Normal 2 21 6" xfId="658" xr:uid="{00000000-0005-0000-0000-000092020000}"/>
    <cellStyle name="Normal 2 21 7" xfId="659" xr:uid="{00000000-0005-0000-0000-000093020000}"/>
    <cellStyle name="Normal 2 21 8" xfId="660" xr:uid="{00000000-0005-0000-0000-000094020000}"/>
    <cellStyle name="Normal 2 21 9" xfId="661" xr:uid="{00000000-0005-0000-0000-000095020000}"/>
    <cellStyle name="Normal 2 21_100114_ReCiPe_endpoint_orginalversion-Sander" xfId="662" xr:uid="{00000000-0005-0000-0000-000096020000}"/>
    <cellStyle name="Normal 2 22" xfId="663" xr:uid="{00000000-0005-0000-0000-000097020000}"/>
    <cellStyle name="Normal 2 22 10" xfId="664" xr:uid="{00000000-0005-0000-0000-000098020000}"/>
    <cellStyle name="Normal 2 22 11" xfId="665" xr:uid="{00000000-0005-0000-0000-000099020000}"/>
    <cellStyle name="Normal 2 22 12" xfId="666" xr:uid="{00000000-0005-0000-0000-00009A020000}"/>
    <cellStyle name="Normal 2 22 13" xfId="667" xr:uid="{00000000-0005-0000-0000-00009B020000}"/>
    <cellStyle name="Normal 2 22 2" xfId="668" xr:uid="{00000000-0005-0000-0000-00009C020000}"/>
    <cellStyle name="Normal 2 22 3" xfId="669" xr:uid="{00000000-0005-0000-0000-00009D020000}"/>
    <cellStyle name="Normal 2 22 4" xfId="670" xr:uid="{00000000-0005-0000-0000-00009E020000}"/>
    <cellStyle name="Normal 2 22 5" xfId="671" xr:uid="{00000000-0005-0000-0000-00009F020000}"/>
    <cellStyle name="Normal 2 22 6" xfId="672" xr:uid="{00000000-0005-0000-0000-0000A0020000}"/>
    <cellStyle name="Normal 2 22 7" xfId="673" xr:uid="{00000000-0005-0000-0000-0000A1020000}"/>
    <cellStyle name="Normal 2 22 8" xfId="674" xr:uid="{00000000-0005-0000-0000-0000A2020000}"/>
    <cellStyle name="Normal 2 22 9" xfId="675" xr:uid="{00000000-0005-0000-0000-0000A3020000}"/>
    <cellStyle name="Normal 2 22_100114_ReCiPe_endpoint_orginalversion-Sander" xfId="676" xr:uid="{00000000-0005-0000-0000-0000A4020000}"/>
    <cellStyle name="Normal 2 23" xfId="677" xr:uid="{00000000-0005-0000-0000-0000A5020000}"/>
    <cellStyle name="Normal 2 23 10" xfId="678" xr:uid="{00000000-0005-0000-0000-0000A6020000}"/>
    <cellStyle name="Normal 2 23 11" xfId="679" xr:uid="{00000000-0005-0000-0000-0000A7020000}"/>
    <cellStyle name="Normal 2 23 12" xfId="680" xr:uid="{00000000-0005-0000-0000-0000A8020000}"/>
    <cellStyle name="Normal 2 23 13" xfId="681" xr:uid="{00000000-0005-0000-0000-0000A9020000}"/>
    <cellStyle name="Normal 2 23 2" xfId="682" xr:uid="{00000000-0005-0000-0000-0000AA020000}"/>
    <cellStyle name="Normal 2 23 3" xfId="683" xr:uid="{00000000-0005-0000-0000-0000AB020000}"/>
    <cellStyle name="Normal 2 23 4" xfId="684" xr:uid="{00000000-0005-0000-0000-0000AC020000}"/>
    <cellStyle name="Normal 2 23 5" xfId="685" xr:uid="{00000000-0005-0000-0000-0000AD020000}"/>
    <cellStyle name="Normal 2 23 6" xfId="686" xr:uid="{00000000-0005-0000-0000-0000AE020000}"/>
    <cellStyle name="Normal 2 23 7" xfId="687" xr:uid="{00000000-0005-0000-0000-0000AF020000}"/>
    <cellStyle name="Normal 2 23 8" xfId="688" xr:uid="{00000000-0005-0000-0000-0000B0020000}"/>
    <cellStyle name="Normal 2 23 9" xfId="689" xr:uid="{00000000-0005-0000-0000-0000B1020000}"/>
    <cellStyle name="Normal 2 23_100114_ReCiPe_endpoint_orginalversion-Sander" xfId="690" xr:uid="{00000000-0005-0000-0000-0000B2020000}"/>
    <cellStyle name="Normal 2 24" xfId="691" xr:uid="{00000000-0005-0000-0000-0000B3020000}"/>
    <cellStyle name="Normal 2 24 10" xfId="692" xr:uid="{00000000-0005-0000-0000-0000B4020000}"/>
    <cellStyle name="Normal 2 24 11" xfId="693" xr:uid="{00000000-0005-0000-0000-0000B5020000}"/>
    <cellStyle name="Normal 2 24 12" xfId="694" xr:uid="{00000000-0005-0000-0000-0000B6020000}"/>
    <cellStyle name="Normal 2 24 13" xfId="695" xr:uid="{00000000-0005-0000-0000-0000B7020000}"/>
    <cellStyle name="Normal 2 24 2" xfId="696" xr:uid="{00000000-0005-0000-0000-0000B8020000}"/>
    <cellStyle name="Normal 2 24 3" xfId="697" xr:uid="{00000000-0005-0000-0000-0000B9020000}"/>
    <cellStyle name="Normal 2 24 4" xfId="698" xr:uid="{00000000-0005-0000-0000-0000BA020000}"/>
    <cellStyle name="Normal 2 24 5" xfId="699" xr:uid="{00000000-0005-0000-0000-0000BB020000}"/>
    <cellStyle name="Normal 2 24 6" xfId="700" xr:uid="{00000000-0005-0000-0000-0000BC020000}"/>
    <cellStyle name="Normal 2 24 7" xfId="701" xr:uid="{00000000-0005-0000-0000-0000BD020000}"/>
    <cellStyle name="Normal 2 24 8" xfId="702" xr:uid="{00000000-0005-0000-0000-0000BE020000}"/>
    <cellStyle name="Normal 2 24 9" xfId="703" xr:uid="{00000000-0005-0000-0000-0000BF020000}"/>
    <cellStyle name="Normal 2 24_100114_ReCiPe_endpoint_orginalversion-Sander" xfId="704" xr:uid="{00000000-0005-0000-0000-0000C0020000}"/>
    <cellStyle name="Normal 2 25" xfId="705" xr:uid="{00000000-0005-0000-0000-0000C1020000}"/>
    <cellStyle name="Normal 2 25 10" xfId="706" xr:uid="{00000000-0005-0000-0000-0000C2020000}"/>
    <cellStyle name="Normal 2 25 11" xfId="707" xr:uid="{00000000-0005-0000-0000-0000C3020000}"/>
    <cellStyle name="Normal 2 25 12" xfId="708" xr:uid="{00000000-0005-0000-0000-0000C4020000}"/>
    <cellStyle name="Normal 2 25 13" xfId="709" xr:uid="{00000000-0005-0000-0000-0000C5020000}"/>
    <cellStyle name="Normal 2 25 2" xfId="710" xr:uid="{00000000-0005-0000-0000-0000C6020000}"/>
    <cellStyle name="Normal 2 25 3" xfId="711" xr:uid="{00000000-0005-0000-0000-0000C7020000}"/>
    <cellStyle name="Normal 2 25 4" xfId="712" xr:uid="{00000000-0005-0000-0000-0000C8020000}"/>
    <cellStyle name="Normal 2 25 5" xfId="713" xr:uid="{00000000-0005-0000-0000-0000C9020000}"/>
    <cellStyle name="Normal 2 25 6" xfId="714" xr:uid="{00000000-0005-0000-0000-0000CA020000}"/>
    <cellStyle name="Normal 2 25 7" xfId="715" xr:uid="{00000000-0005-0000-0000-0000CB020000}"/>
    <cellStyle name="Normal 2 25 8" xfId="716" xr:uid="{00000000-0005-0000-0000-0000CC020000}"/>
    <cellStyle name="Normal 2 25 9" xfId="717" xr:uid="{00000000-0005-0000-0000-0000CD020000}"/>
    <cellStyle name="Normal 2 25_100114_ReCiPe_endpoint_orginalversion-Sander" xfId="718" xr:uid="{00000000-0005-0000-0000-0000CE020000}"/>
    <cellStyle name="Normal 2 26" xfId="719" xr:uid="{00000000-0005-0000-0000-0000CF020000}"/>
    <cellStyle name="Normal 2 26 10" xfId="720" xr:uid="{00000000-0005-0000-0000-0000D0020000}"/>
    <cellStyle name="Normal 2 26 11" xfId="721" xr:uid="{00000000-0005-0000-0000-0000D1020000}"/>
    <cellStyle name="Normal 2 26 12" xfId="722" xr:uid="{00000000-0005-0000-0000-0000D2020000}"/>
    <cellStyle name="Normal 2 26 13" xfId="723" xr:uid="{00000000-0005-0000-0000-0000D3020000}"/>
    <cellStyle name="Normal 2 26 2" xfId="724" xr:uid="{00000000-0005-0000-0000-0000D4020000}"/>
    <cellStyle name="Normal 2 26 3" xfId="725" xr:uid="{00000000-0005-0000-0000-0000D5020000}"/>
    <cellStyle name="Normal 2 26 4" xfId="726" xr:uid="{00000000-0005-0000-0000-0000D6020000}"/>
    <cellStyle name="Normal 2 26 5" xfId="727" xr:uid="{00000000-0005-0000-0000-0000D7020000}"/>
    <cellStyle name="Normal 2 26 6" xfId="728" xr:uid="{00000000-0005-0000-0000-0000D8020000}"/>
    <cellStyle name="Normal 2 26 7" xfId="729" xr:uid="{00000000-0005-0000-0000-0000D9020000}"/>
    <cellStyle name="Normal 2 26 8" xfId="730" xr:uid="{00000000-0005-0000-0000-0000DA020000}"/>
    <cellStyle name="Normal 2 26 9" xfId="731" xr:uid="{00000000-0005-0000-0000-0000DB020000}"/>
    <cellStyle name="Normal 2 26_100114_ReCiPe_endpoint_orginalversion-Sander" xfId="732" xr:uid="{00000000-0005-0000-0000-0000DC020000}"/>
    <cellStyle name="Normal 2 27" xfId="733" xr:uid="{00000000-0005-0000-0000-0000DD020000}"/>
    <cellStyle name="Normal 2 27 10" xfId="734" xr:uid="{00000000-0005-0000-0000-0000DE020000}"/>
    <cellStyle name="Normal 2 27 11" xfId="735" xr:uid="{00000000-0005-0000-0000-0000DF020000}"/>
    <cellStyle name="Normal 2 27 12" xfId="736" xr:uid="{00000000-0005-0000-0000-0000E0020000}"/>
    <cellStyle name="Normal 2 27 13" xfId="737" xr:uid="{00000000-0005-0000-0000-0000E1020000}"/>
    <cellStyle name="Normal 2 27 2" xfId="738" xr:uid="{00000000-0005-0000-0000-0000E2020000}"/>
    <cellStyle name="Normal 2 27 3" xfId="739" xr:uid="{00000000-0005-0000-0000-0000E3020000}"/>
    <cellStyle name="Normal 2 27 4" xfId="740" xr:uid="{00000000-0005-0000-0000-0000E4020000}"/>
    <cellStyle name="Normal 2 27 5" xfId="741" xr:uid="{00000000-0005-0000-0000-0000E5020000}"/>
    <cellStyle name="Normal 2 27 6" xfId="742" xr:uid="{00000000-0005-0000-0000-0000E6020000}"/>
    <cellStyle name="Normal 2 27 7" xfId="743" xr:uid="{00000000-0005-0000-0000-0000E7020000}"/>
    <cellStyle name="Normal 2 27 8" xfId="744" xr:uid="{00000000-0005-0000-0000-0000E8020000}"/>
    <cellStyle name="Normal 2 27 9" xfId="745" xr:uid="{00000000-0005-0000-0000-0000E9020000}"/>
    <cellStyle name="Normal 2 27_100114_ReCiPe_endpoint_orginalversion-Sander" xfId="746" xr:uid="{00000000-0005-0000-0000-0000EA020000}"/>
    <cellStyle name="Normal 2 28" xfId="747" xr:uid="{00000000-0005-0000-0000-0000EB020000}"/>
    <cellStyle name="Normal 2 28 10" xfId="748" xr:uid="{00000000-0005-0000-0000-0000EC020000}"/>
    <cellStyle name="Normal 2 28 11" xfId="749" xr:uid="{00000000-0005-0000-0000-0000ED020000}"/>
    <cellStyle name="Normal 2 28 12" xfId="750" xr:uid="{00000000-0005-0000-0000-0000EE020000}"/>
    <cellStyle name="Normal 2 28 13" xfId="751" xr:uid="{00000000-0005-0000-0000-0000EF020000}"/>
    <cellStyle name="Normal 2 28 2" xfId="752" xr:uid="{00000000-0005-0000-0000-0000F0020000}"/>
    <cellStyle name="Normal 2 28 3" xfId="753" xr:uid="{00000000-0005-0000-0000-0000F1020000}"/>
    <cellStyle name="Normal 2 28 4" xfId="754" xr:uid="{00000000-0005-0000-0000-0000F2020000}"/>
    <cellStyle name="Normal 2 28 5" xfId="755" xr:uid="{00000000-0005-0000-0000-0000F3020000}"/>
    <cellStyle name="Normal 2 28 6" xfId="756" xr:uid="{00000000-0005-0000-0000-0000F4020000}"/>
    <cellStyle name="Normal 2 28 7" xfId="757" xr:uid="{00000000-0005-0000-0000-0000F5020000}"/>
    <cellStyle name="Normal 2 28 8" xfId="758" xr:uid="{00000000-0005-0000-0000-0000F6020000}"/>
    <cellStyle name="Normal 2 28 9" xfId="759" xr:uid="{00000000-0005-0000-0000-0000F7020000}"/>
    <cellStyle name="Normal 2 28_100114_ReCiPe_endpoint_orginalversion-Sander" xfId="760" xr:uid="{00000000-0005-0000-0000-0000F8020000}"/>
    <cellStyle name="Normal 2 29" xfId="761" xr:uid="{00000000-0005-0000-0000-0000F9020000}"/>
    <cellStyle name="Normal 2 29 10" xfId="762" xr:uid="{00000000-0005-0000-0000-0000FA020000}"/>
    <cellStyle name="Normal 2 29 11" xfId="763" xr:uid="{00000000-0005-0000-0000-0000FB020000}"/>
    <cellStyle name="Normal 2 29 12" xfId="764" xr:uid="{00000000-0005-0000-0000-0000FC020000}"/>
    <cellStyle name="Normal 2 29 13" xfId="765" xr:uid="{00000000-0005-0000-0000-0000FD020000}"/>
    <cellStyle name="Normal 2 29 2" xfId="766" xr:uid="{00000000-0005-0000-0000-0000FE020000}"/>
    <cellStyle name="Normal 2 29 3" xfId="767" xr:uid="{00000000-0005-0000-0000-0000FF020000}"/>
    <cellStyle name="Normal 2 29 4" xfId="768" xr:uid="{00000000-0005-0000-0000-000000030000}"/>
    <cellStyle name="Normal 2 29 5" xfId="769" xr:uid="{00000000-0005-0000-0000-000001030000}"/>
    <cellStyle name="Normal 2 29 6" xfId="770" xr:uid="{00000000-0005-0000-0000-000002030000}"/>
    <cellStyle name="Normal 2 29 7" xfId="771" xr:uid="{00000000-0005-0000-0000-000003030000}"/>
    <cellStyle name="Normal 2 29 8" xfId="772" xr:uid="{00000000-0005-0000-0000-000004030000}"/>
    <cellStyle name="Normal 2 29 9" xfId="773" xr:uid="{00000000-0005-0000-0000-000005030000}"/>
    <cellStyle name="Normal 2 29_100114_ReCiPe_endpoint_orginalversion-Sander" xfId="774" xr:uid="{00000000-0005-0000-0000-000006030000}"/>
    <cellStyle name="Normal 2 3" xfId="775" xr:uid="{00000000-0005-0000-0000-000007030000}"/>
    <cellStyle name="Normal 2 30" xfId="776" xr:uid="{00000000-0005-0000-0000-000008030000}"/>
    <cellStyle name="Normal 2 30 10" xfId="777" xr:uid="{00000000-0005-0000-0000-000009030000}"/>
    <cellStyle name="Normal 2 30 11" xfId="778" xr:uid="{00000000-0005-0000-0000-00000A030000}"/>
    <cellStyle name="Normal 2 30 12" xfId="779" xr:uid="{00000000-0005-0000-0000-00000B030000}"/>
    <cellStyle name="Normal 2 30 13" xfId="780" xr:uid="{00000000-0005-0000-0000-00000C030000}"/>
    <cellStyle name="Normal 2 30 2" xfId="781" xr:uid="{00000000-0005-0000-0000-00000D030000}"/>
    <cellStyle name="Normal 2 30 3" xfId="782" xr:uid="{00000000-0005-0000-0000-00000E030000}"/>
    <cellStyle name="Normal 2 30 4" xfId="783" xr:uid="{00000000-0005-0000-0000-00000F030000}"/>
    <cellStyle name="Normal 2 30 5" xfId="784" xr:uid="{00000000-0005-0000-0000-000010030000}"/>
    <cellStyle name="Normal 2 30 6" xfId="785" xr:uid="{00000000-0005-0000-0000-000011030000}"/>
    <cellStyle name="Normal 2 30 7" xfId="786" xr:uid="{00000000-0005-0000-0000-000012030000}"/>
    <cellStyle name="Normal 2 30 8" xfId="787" xr:uid="{00000000-0005-0000-0000-000013030000}"/>
    <cellStyle name="Normal 2 30 9" xfId="788" xr:uid="{00000000-0005-0000-0000-000014030000}"/>
    <cellStyle name="Normal 2 30_100114_ReCiPe_endpoint_orginalversion-Sander" xfId="789" xr:uid="{00000000-0005-0000-0000-000015030000}"/>
    <cellStyle name="Normal 2 31" xfId="790" xr:uid="{00000000-0005-0000-0000-000016030000}"/>
    <cellStyle name="Normal 2 31 10" xfId="791" xr:uid="{00000000-0005-0000-0000-000017030000}"/>
    <cellStyle name="Normal 2 31 11" xfId="792" xr:uid="{00000000-0005-0000-0000-000018030000}"/>
    <cellStyle name="Normal 2 31 12" xfId="793" xr:uid="{00000000-0005-0000-0000-000019030000}"/>
    <cellStyle name="Normal 2 31 13" xfId="794" xr:uid="{00000000-0005-0000-0000-00001A030000}"/>
    <cellStyle name="Normal 2 31 2" xfId="795" xr:uid="{00000000-0005-0000-0000-00001B030000}"/>
    <cellStyle name="Normal 2 31 3" xfId="796" xr:uid="{00000000-0005-0000-0000-00001C030000}"/>
    <cellStyle name="Normal 2 31 4" xfId="797" xr:uid="{00000000-0005-0000-0000-00001D030000}"/>
    <cellStyle name="Normal 2 31 5" xfId="798" xr:uid="{00000000-0005-0000-0000-00001E030000}"/>
    <cellStyle name="Normal 2 31 6" xfId="799" xr:uid="{00000000-0005-0000-0000-00001F030000}"/>
    <cellStyle name="Normal 2 31 7" xfId="800" xr:uid="{00000000-0005-0000-0000-000020030000}"/>
    <cellStyle name="Normal 2 31 8" xfId="801" xr:uid="{00000000-0005-0000-0000-000021030000}"/>
    <cellStyle name="Normal 2 31 9" xfId="802" xr:uid="{00000000-0005-0000-0000-000022030000}"/>
    <cellStyle name="Normal 2 31_100114_ReCiPe_endpoint_orginalversion-Sander" xfId="803" xr:uid="{00000000-0005-0000-0000-000023030000}"/>
    <cellStyle name="Normal 2 32" xfId="804" xr:uid="{00000000-0005-0000-0000-000024030000}"/>
    <cellStyle name="Normal 2 32 10" xfId="805" xr:uid="{00000000-0005-0000-0000-000025030000}"/>
    <cellStyle name="Normal 2 32 11" xfId="806" xr:uid="{00000000-0005-0000-0000-000026030000}"/>
    <cellStyle name="Normal 2 32 12" xfId="807" xr:uid="{00000000-0005-0000-0000-000027030000}"/>
    <cellStyle name="Normal 2 32 13" xfId="808" xr:uid="{00000000-0005-0000-0000-000028030000}"/>
    <cellStyle name="Normal 2 32 2" xfId="809" xr:uid="{00000000-0005-0000-0000-000029030000}"/>
    <cellStyle name="Normal 2 32 3" xfId="810" xr:uid="{00000000-0005-0000-0000-00002A030000}"/>
    <cellStyle name="Normal 2 32 4" xfId="811" xr:uid="{00000000-0005-0000-0000-00002B030000}"/>
    <cellStyle name="Normal 2 32 5" xfId="812" xr:uid="{00000000-0005-0000-0000-00002C030000}"/>
    <cellStyle name="Normal 2 32 6" xfId="813" xr:uid="{00000000-0005-0000-0000-00002D030000}"/>
    <cellStyle name="Normal 2 32 7" xfId="814" xr:uid="{00000000-0005-0000-0000-00002E030000}"/>
    <cellStyle name="Normal 2 32 8" xfId="815" xr:uid="{00000000-0005-0000-0000-00002F030000}"/>
    <cellStyle name="Normal 2 32 9" xfId="816" xr:uid="{00000000-0005-0000-0000-000030030000}"/>
    <cellStyle name="Normal 2 32_100114_ReCiPe_endpoint_orginalversion-Sander" xfId="817" xr:uid="{00000000-0005-0000-0000-000031030000}"/>
    <cellStyle name="Normal 2 33" xfId="818" xr:uid="{00000000-0005-0000-0000-000032030000}"/>
    <cellStyle name="Normal 2 33 10" xfId="819" xr:uid="{00000000-0005-0000-0000-000033030000}"/>
    <cellStyle name="Normal 2 33 11" xfId="820" xr:uid="{00000000-0005-0000-0000-000034030000}"/>
    <cellStyle name="Normal 2 33 12" xfId="821" xr:uid="{00000000-0005-0000-0000-000035030000}"/>
    <cellStyle name="Normal 2 33 13" xfId="822" xr:uid="{00000000-0005-0000-0000-000036030000}"/>
    <cellStyle name="Normal 2 33 2" xfId="823" xr:uid="{00000000-0005-0000-0000-000037030000}"/>
    <cellStyle name="Normal 2 33 3" xfId="824" xr:uid="{00000000-0005-0000-0000-000038030000}"/>
    <cellStyle name="Normal 2 33 4" xfId="825" xr:uid="{00000000-0005-0000-0000-000039030000}"/>
    <cellStyle name="Normal 2 33 5" xfId="826" xr:uid="{00000000-0005-0000-0000-00003A030000}"/>
    <cellStyle name="Normal 2 33 6" xfId="827" xr:uid="{00000000-0005-0000-0000-00003B030000}"/>
    <cellStyle name="Normal 2 33 7" xfId="828" xr:uid="{00000000-0005-0000-0000-00003C030000}"/>
    <cellStyle name="Normal 2 33 8" xfId="829" xr:uid="{00000000-0005-0000-0000-00003D030000}"/>
    <cellStyle name="Normal 2 33 9" xfId="830" xr:uid="{00000000-0005-0000-0000-00003E030000}"/>
    <cellStyle name="Normal 2 33_100114_ReCiPe_endpoint_orginalversion-Sander" xfId="831" xr:uid="{00000000-0005-0000-0000-00003F030000}"/>
    <cellStyle name="Normal 2 34" xfId="832" xr:uid="{00000000-0005-0000-0000-000040030000}"/>
    <cellStyle name="Normal 2 34 10" xfId="833" xr:uid="{00000000-0005-0000-0000-000041030000}"/>
    <cellStyle name="Normal 2 34 11" xfId="834" xr:uid="{00000000-0005-0000-0000-000042030000}"/>
    <cellStyle name="Normal 2 34 12" xfId="835" xr:uid="{00000000-0005-0000-0000-000043030000}"/>
    <cellStyle name="Normal 2 34 13" xfId="836" xr:uid="{00000000-0005-0000-0000-000044030000}"/>
    <cellStyle name="Normal 2 34 2" xfId="837" xr:uid="{00000000-0005-0000-0000-000045030000}"/>
    <cellStyle name="Normal 2 34 3" xfId="838" xr:uid="{00000000-0005-0000-0000-000046030000}"/>
    <cellStyle name="Normal 2 34 4" xfId="839" xr:uid="{00000000-0005-0000-0000-000047030000}"/>
    <cellStyle name="Normal 2 34 5" xfId="840" xr:uid="{00000000-0005-0000-0000-000048030000}"/>
    <cellStyle name="Normal 2 34 6" xfId="841" xr:uid="{00000000-0005-0000-0000-000049030000}"/>
    <cellStyle name="Normal 2 34 7" xfId="842" xr:uid="{00000000-0005-0000-0000-00004A030000}"/>
    <cellStyle name="Normal 2 34 8" xfId="843" xr:uid="{00000000-0005-0000-0000-00004B030000}"/>
    <cellStyle name="Normal 2 34 9" xfId="844" xr:uid="{00000000-0005-0000-0000-00004C030000}"/>
    <cellStyle name="Normal 2 34_100114_ReCiPe_endpoint_orginalversion-Sander" xfId="845" xr:uid="{00000000-0005-0000-0000-00004D030000}"/>
    <cellStyle name="Normal 2 35" xfId="846" xr:uid="{00000000-0005-0000-0000-00004E030000}"/>
    <cellStyle name="Normal 2 35 10" xfId="847" xr:uid="{00000000-0005-0000-0000-00004F030000}"/>
    <cellStyle name="Normal 2 35 11" xfId="848" xr:uid="{00000000-0005-0000-0000-000050030000}"/>
    <cellStyle name="Normal 2 35 12" xfId="849" xr:uid="{00000000-0005-0000-0000-000051030000}"/>
    <cellStyle name="Normal 2 35 13" xfId="850" xr:uid="{00000000-0005-0000-0000-000052030000}"/>
    <cellStyle name="Normal 2 35 2" xfId="851" xr:uid="{00000000-0005-0000-0000-000053030000}"/>
    <cellStyle name="Normal 2 35 3" xfId="852" xr:uid="{00000000-0005-0000-0000-000054030000}"/>
    <cellStyle name="Normal 2 35 4" xfId="853" xr:uid="{00000000-0005-0000-0000-000055030000}"/>
    <cellStyle name="Normal 2 35 5" xfId="854" xr:uid="{00000000-0005-0000-0000-000056030000}"/>
    <cellStyle name="Normal 2 35 6" xfId="855" xr:uid="{00000000-0005-0000-0000-000057030000}"/>
    <cellStyle name="Normal 2 35 7" xfId="856" xr:uid="{00000000-0005-0000-0000-000058030000}"/>
    <cellStyle name="Normal 2 35 8" xfId="857" xr:uid="{00000000-0005-0000-0000-000059030000}"/>
    <cellStyle name="Normal 2 35 9" xfId="858" xr:uid="{00000000-0005-0000-0000-00005A030000}"/>
    <cellStyle name="Normal 2 35_100114_ReCiPe_endpoint_orginalversion-Sander" xfId="859" xr:uid="{00000000-0005-0000-0000-00005B030000}"/>
    <cellStyle name="Normal 2 36" xfId="860" xr:uid="{00000000-0005-0000-0000-00005C030000}"/>
    <cellStyle name="Normal 2 36 10" xfId="861" xr:uid="{00000000-0005-0000-0000-00005D030000}"/>
    <cellStyle name="Normal 2 36 11" xfId="862" xr:uid="{00000000-0005-0000-0000-00005E030000}"/>
    <cellStyle name="Normal 2 36 12" xfId="863" xr:uid="{00000000-0005-0000-0000-00005F030000}"/>
    <cellStyle name="Normal 2 36 13" xfId="864" xr:uid="{00000000-0005-0000-0000-000060030000}"/>
    <cellStyle name="Normal 2 36 2" xfId="865" xr:uid="{00000000-0005-0000-0000-000061030000}"/>
    <cellStyle name="Normal 2 36 3" xfId="866" xr:uid="{00000000-0005-0000-0000-000062030000}"/>
    <cellStyle name="Normal 2 36 4" xfId="867" xr:uid="{00000000-0005-0000-0000-000063030000}"/>
    <cellStyle name="Normal 2 36 5" xfId="868" xr:uid="{00000000-0005-0000-0000-000064030000}"/>
    <cellStyle name="Normal 2 36 6" xfId="869" xr:uid="{00000000-0005-0000-0000-000065030000}"/>
    <cellStyle name="Normal 2 36 7" xfId="870" xr:uid="{00000000-0005-0000-0000-000066030000}"/>
    <cellStyle name="Normal 2 36 8" xfId="871" xr:uid="{00000000-0005-0000-0000-000067030000}"/>
    <cellStyle name="Normal 2 36 9" xfId="872" xr:uid="{00000000-0005-0000-0000-000068030000}"/>
    <cellStyle name="Normal 2 36_100114_ReCiPe_endpoint_orginalversion-Sander" xfId="873" xr:uid="{00000000-0005-0000-0000-000069030000}"/>
    <cellStyle name="Normal 2 37" xfId="874" xr:uid="{00000000-0005-0000-0000-00006A030000}"/>
    <cellStyle name="Normal 2 37 10" xfId="875" xr:uid="{00000000-0005-0000-0000-00006B030000}"/>
    <cellStyle name="Normal 2 37 11" xfId="876" xr:uid="{00000000-0005-0000-0000-00006C030000}"/>
    <cellStyle name="Normal 2 37 12" xfId="877" xr:uid="{00000000-0005-0000-0000-00006D030000}"/>
    <cellStyle name="Normal 2 37 13" xfId="878" xr:uid="{00000000-0005-0000-0000-00006E030000}"/>
    <cellStyle name="Normal 2 37 2" xfId="879" xr:uid="{00000000-0005-0000-0000-00006F030000}"/>
    <cellStyle name="Normal 2 37 3" xfId="880" xr:uid="{00000000-0005-0000-0000-000070030000}"/>
    <cellStyle name="Normal 2 37 4" xfId="881" xr:uid="{00000000-0005-0000-0000-000071030000}"/>
    <cellStyle name="Normal 2 37 5" xfId="882" xr:uid="{00000000-0005-0000-0000-000072030000}"/>
    <cellStyle name="Normal 2 37 6" xfId="883" xr:uid="{00000000-0005-0000-0000-000073030000}"/>
    <cellStyle name="Normal 2 37 7" xfId="884" xr:uid="{00000000-0005-0000-0000-000074030000}"/>
    <cellStyle name="Normal 2 37 8" xfId="885" xr:uid="{00000000-0005-0000-0000-000075030000}"/>
    <cellStyle name="Normal 2 37 9" xfId="886" xr:uid="{00000000-0005-0000-0000-000076030000}"/>
    <cellStyle name="Normal 2 37_100114_ReCiPe_endpoint_orginalversion-Sander" xfId="887" xr:uid="{00000000-0005-0000-0000-000077030000}"/>
    <cellStyle name="Normal 2 38" xfId="888" xr:uid="{00000000-0005-0000-0000-000078030000}"/>
    <cellStyle name="Normal 2 38 10" xfId="889" xr:uid="{00000000-0005-0000-0000-000079030000}"/>
    <cellStyle name="Normal 2 38 11" xfId="890" xr:uid="{00000000-0005-0000-0000-00007A030000}"/>
    <cellStyle name="Normal 2 38 12" xfId="891" xr:uid="{00000000-0005-0000-0000-00007B030000}"/>
    <cellStyle name="Normal 2 38 13" xfId="892" xr:uid="{00000000-0005-0000-0000-00007C030000}"/>
    <cellStyle name="Normal 2 38 2" xfId="893" xr:uid="{00000000-0005-0000-0000-00007D030000}"/>
    <cellStyle name="Normal 2 38 3" xfId="894" xr:uid="{00000000-0005-0000-0000-00007E030000}"/>
    <cellStyle name="Normal 2 38 4" xfId="895" xr:uid="{00000000-0005-0000-0000-00007F030000}"/>
    <cellStyle name="Normal 2 38 5" xfId="896" xr:uid="{00000000-0005-0000-0000-000080030000}"/>
    <cellStyle name="Normal 2 38 6" xfId="897" xr:uid="{00000000-0005-0000-0000-000081030000}"/>
    <cellStyle name="Normal 2 38 7" xfId="898" xr:uid="{00000000-0005-0000-0000-000082030000}"/>
    <cellStyle name="Normal 2 38 8" xfId="899" xr:uid="{00000000-0005-0000-0000-000083030000}"/>
    <cellStyle name="Normal 2 38 9" xfId="900" xr:uid="{00000000-0005-0000-0000-000084030000}"/>
    <cellStyle name="Normal 2 38_100114_ReCiPe_endpoint_orginalversion-Sander" xfId="901" xr:uid="{00000000-0005-0000-0000-000085030000}"/>
    <cellStyle name="Normal 2 39" xfId="902" xr:uid="{00000000-0005-0000-0000-000086030000}"/>
    <cellStyle name="Normal 2 39 10" xfId="903" xr:uid="{00000000-0005-0000-0000-000087030000}"/>
    <cellStyle name="Normal 2 39 11" xfId="904" xr:uid="{00000000-0005-0000-0000-000088030000}"/>
    <cellStyle name="Normal 2 39 12" xfId="905" xr:uid="{00000000-0005-0000-0000-000089030000}"/>
    <cellStyle name="Normal 2 39 13" xfId="906" xr:uid="{00000000-0005-0000-0000-00008A030000}"/>
    <cellStyle name="Normal 2 39 2" xfId="907" xr:uid="{00000000-0005-0000-0000-00008B030000}"/>
    <cellStyle name="Normal 2 39 3" xfId="908" xr:uid="{00000000-0005-0000-0000-00008C030000}"/>
    <cellStyle name="Normal 2 39 4" xfId="909" xr:uid="{00000000-0005-0000-0000-00008D030000}"/>
    <cellStyle name="Normal 2 39 5" xfId="910" xr:uid="{00000000-0005-0000-0000-00008E030000}"/>
    <cellStyle name="Normal 2 39 6" xfId="911" xr:uid="{00000000-0005-0000-0000-00008F030000}"/>
    <cellStyle name="Normal 2 39 7" xfId="912" xr:uid="{00000000-0005-0000-0000-000090030000}"/>
    <cellStyle name="Normal 2 39 8" xfId="913" xr:uid="{00000000-0005-0000-0000-000091030000}"/>
    <cellStyle name="Normal 2 39 9" xfId="914" xr:uid="{00000000-0005-0000-0000-000092030000}"/>
    <cellStyle name="Normal 2 39_100114_ReCiPe_endpoint_orginalversion-Sander" xfId="915" xr:uid="{00000000-0005-0000-0000-000093030000}"/>
    <cellStyle name="Normal 2 4" xfId="916" xr:uid="{00000000-0005-0000-0000-000094030000}"/>
    <cellStyle name="Normal 2 40" xfId="917" xr:uid="{00000000-0005-0000-0000-000095030000}"/>
    <cellStyle name="Normal 2 40 10" xfId="918" xr:uid="{00000000-0005-0000-0000-000096030000}"/>
    <cellStyle name="Normal 2 40 11" xfId="919" xr:uid="{00000000-0005-0000-0000-000097030000}"/>
    <cellStyle name="Normal 2 40 12" xfId="920" xr:uid="{00000000-0005-0000-0000-000098030000}"/>
    <cellStyle name="Normal 2 40 13" xfId="921" xr:uid="{00000000-0005-0000-0000-000099030000}"/>
    <cellStyle name="Normal 2 40 2" xfId="922" xr:uid="{00000000-0005-0000-0000-00009A030000}"/>
    <cellStyle name="Normal 2 40 3" xfId="923" xr:uid="{00000000-0005-0000-0000-00009B030000}"/>
    <cellStyle name="Normal 2 40 4" xfId="924" xr:uid="{00000000-0005-0000-0000-00009C030000}"/>
    <cellStyle name="Normal 2 40 5" xfId="925" xr:uid="{00000000-0005-0000-0000-00009D030000}"/>
    <cellStyle name="Normal 2 40 6" xfId="926" xr:uid="{00000000-0005-0000-0000-00009E030000}"/>
    <cellStyle name="Normal 2 40 7" xfId="927" xr:uid="{00000000-0005-0000-0000-00009F030000}"/>
    <cellStyle name="Normal 2 40 8" xfId="928" xr:uid="{00000000-0005-0000-0000-0000A0030000}"/>
    <cellStyle name="Normal 2 40 9" xfId="929" xr:uid="{00000000-0005-0000-0000-0000A1030000}"/>
    <cellStyle name="Normal 2 40_100114_ReCiPe_endpoint_orginalversion-Sander" xfId="930" xr:uid="{00000000-0005-0000-0000-0000A2030000}"/>
    <cellStyle name="Normal 2 41" xfId="931" xr:uid="{00000000-0005-0000-0000-0000A3030000}"/>
    <cellStyle name="Normal 2 41 10" xfId="932" xr:uid="{00000000-0005-0000-0000-0000A4030000}"/>
    <cellStyle name="Normal 2 41 11" xfId="933" xr:uid="{00000000-0005-0000-0000-0000A5030000}"/>
    <cellStyle name="Normal 2 41 12" xfId="934" xr:uid="{00000000-0005-0000-0000-0000A6030000}"/>
    <cellStyle name="Normal 2 41 13" xfId="935" xr:uid="{00000000-0005-0000-0000-0000A7030000}"/>
    <cellStyle name="Normal 2 41 2" xfId="936" xr:uid="{00000000-0005-0000-0000-0000A8030000}"/>
    <cellStyle name="Normal 2 41 3" xfId="937" xr:uid="{00000000-0005-0000-0000-0000A9030000}"/>
    <cellStyle name="Normal 2 41 4" xfId="938" xr:uid="{00000000-0005-0000-0000-0000AA030000}"/>
    <cellStyle name="Normal 2 41 5" xfId="939" xr:uid="{00000000-0005-0000-0000-0000AB030000}"/>
    <cellStyle name="Normal 2 41 6" xfId="940" xr:uid="{00000000-0005-0000-0000-0000AC030000}"/>
    <cellStyle name="Normal 2 41 7" xfId="941" xr:uid="{00000000-0005-0000-0000-0000AD030000}"/>
    <cellStyle name="Normal 2 41 8" xfId="942" xr:uid="{00000000-0005-0000-0000-0000AE030000}"/>
    <cellStyle name="Normal 2 41 9" xfId="943" xr:uid="{00000000-0005-0000-0000-0000AF030000}"/>
    <cellStyle name="Normal 2 41_100114_ReCiPe_endpoint_orginalversion-Sander" xfId="944" xr:uid="{00000000-0005-0000-0000-0000B0030000}"/>
    <cellStyle name="Normal 2 42" xfId="945" xr:uid="{00000000-0005-0000-0000-0000B1030000}"/>
    <cellStyle name="Normal 2 42 10" xfId="946" xr:uid="{00000000-0005-0000-0000-0000B2030000}"/>
    <cellStyle name="Normal 2 42 11" xfId="947" xr:uid="{00000000-0005-0000-0000-0000B3030000}"/>
    <cellStyle name="Normal 2 42 12" xfId="948" xr:uid="{00000000-0005-0000-0000-0000B4030000}"/>
    <cellStyle name="Normal 2 42 13" xfId="949" xr:uid="{00000000-0005-0000-0000-0000B5030000}"/>
    <cellStyle name="Normal 2 42 2" xfId="950" xr:uid="{00000000-0005-0000-0000-0000B6030000}"/>
    <cellStyle name="Normal 2 42 3" xfId="951" xr:uid="{00000000-0005-0000-0000-0000B7030000}"/>
    <cellStyle name="Normal 2 42 4" xfId="952" xr:uid="{00000000-0005-0000-0000-0000B8030000}"/>
    <cellStyle name="Normal 2 42 5" xfId="953" xr:uid="{00000000-0005-0000-0000-0000B9030000}"/>
    <cellStyle name="Normal 2 42 6" xfId="954" xr:uid="{00000000-0005-0000-0000-0000BA030000}"/>
    <cellStyle name="Normal 2 42 7" xfId="955" xr:uid="{00000000-0005-0000-0000-0000BB030000}"/>
    <cellStyle name="Normal 2 42 8" xfId="956" xr:uid="{00000000-0005-0000-0000-0000BC030000}"/>
    <cellStyle name="Normal 2 42 9" xfId="957" xr:uid="{00000000-0005-0000-0000-0000BD030000}"/>
    <cellStyle name="Normal 2 42_100114_ReCiPe_endpoint_orginalversion-Sander" xfId="958" xr:uid="{00000000-0005-0000-0000-0000BE030000}"/>
    <cellStyle name="Normal 2 43" xfId="959" xr:uid="{00000000-0005-0000-0000-0000BF030000}"/>
    <cellStyle name="Normal 2 43 10" xfId="960" xr:uid="{00000000-0005-0000-0000-0000C0030000}"/>
    <cellStyle name="Normal 2 43 11" xfId="961" xr:uid="{00000000-0005-0000-0000-0000C1030000}"/>
    <cellStyle name="Normal 2 43 12" xfId="962" xr:uid="{00000000-0005-0000-0000-0000C2030000}"/>
    <cellStyle name="Normal 2 43 13" xfId="963" xr:uid="{00000000-0005-0000-0000-0000C3030000}"/>
    <cellStyle name="Normal 2 43 2" xfId="964" xr:uid="{00000000-0005-0000-0000-0000C4030000}"/>
    <cellStyle name="Normal 2 43 3" xfId="965" xr:uid="{00000000-0005-0000-0000-0000C5030000}"/>
    <cellStyle name="Normal 2 43 4" xfId="966" xr:uid="{00000000-0005-0000-0000-0000C6030000}"/>
    <cellStyle name="Normal 2 43 5" xfId="967" xr:uid="{00000000-0005-0000-0000-0000C7030000}"/>
    <cellStyle name="Normal 2 43 6" xfId="968" xr:uid="{00000000-0005-0000-0000-0000C8030000}"/>
    <cellStyle name="Normal 2 43 7" xfId="969" xr:uid="{00000000-0005-0000-0000-0000C9030000}"/>
    <cellStyle name="Normal 2 43 8" xfId="970" xr:uid="{00000000-0005-0000-0000-0000CA030000}"/>
    <cellStyle name="Normal 2 43 9" xfId="971" xr:uid="{00000000-0005-0000-0000-0000CB030000}"/>
    <cellStyle name="Normal 2 43_100114_ReCiPe_endpoint_orginalversion-Sander" xfId="972" xr:uid="{00000000-0005-0000-0000-0000CC030000}"/>
    <cellStyle name="Normal 2 44" xfId="973" xr:uid="{00000000-0005-0000-0000-0000CD030000}"/>
    <cellStyle name="Normal 2 44 10" xfId="974" xr:uid="{00000000-0005-0000-0000-0000CE030000}"/>
    <cellStyle name="Normal 2 44 11" xfId="975" xr:uid="{00000000-0005-0000-0000-0000CF030000}"/>
    <cellStyle name="Normal 2 44 12" xfId="976" xr:uid="{00000000-0005-0000-0000-0000D0030000}"/>
    <cellStyle name="Normal 2 44 13" xfId="977" xr:uid="{00000000-0005-0000-0000-0000D1030000}"/>
    <cellStyle name="Normal 2 44 2" xfId="978" xr:uid="{00000000-0005-0000-0000-0000D2030000}"/>
    <cellStyle name="Normal 2 44 3" xfId="979" xr:uid="{00000000-0005-0000-0000-0000D3030000}"/>
    <cellStyle name="Normal 2 44 4" xfId="980" xr:uid="{00000000-0005-0000-0000-0000D4030000}"/>
    <cellStyle name="Normal 2 44 5" xfId="981" xr:uid="{00000000-0005-0000-0000-0000D5030000}"/>
    <cellStyle name="Normal 2 44 6" xfId="982" xr:uid="{00000000-0005-0000-0000-0000D6030000}"/>
    <cellStyle name="Normal 2 44 7" xfId="983" xr:uid="{00000000-0005-0000-0000-0000D7030000}"/>
    <cellStyle name="Normal 2 44 8" xfId="984" xr:uid="{00000000-0005-0000-0000-0000D8030000}"/>
    <cellStyle name="Normal 2 44 9" xfId="985" xr:uid="{00000000-0005-0000-0000-0000D9030000}"/>
    <cellStyle name="Normal 2 44_100114_ReCiPe_endpoint_orginalversion-Sander" xfId="986" xr:uid="{00000000-0005-0000-0000-0000DA030000}"/>
    <cellStyle name="Normal 2 45" xfId="987" xr:uid="{00000000-0005-0000-0000-0000DB030000}"/>
    <cellStyle name="Normal 2 45 10" xfId="988" xr:uid="{00000000-0005-0000-0000-0000DC030000}"/>
    <cellStyle name="Normal 2 45 11" xfId="989" xr:uid="{00000000-0005-0000-0000-0000DD030000}"/>
    <cellStyle name="Normal 2 45 12" xfId="990" xr:uid="{00000000-0005-0000-0000-0000DE030000}"/>
    <cellStyle name="Normal 2 45 13" xfId="991" xr:uid="{00000000-0005-0000-0000-0000DF030000}"/>
    <cellStyle name="Normal 2 45 2" xfId="992" xr:uid="{00000000-0005-0000-0000-0000E0030000}"/>
    <cellStyle name="Normal 2 45 3" xfId="993" xr:uid="{00000000-0005-0000-0000-0000E1030000}"/>
    <cellStyle name="Normal 2 45 4" xfId="994" xr:uid="{00000000-0005-0000-0000-0000E2030000}"/>
    <cellStyle name="Normal 2 45 5" xfId="995" xr:uid="{00000000-0005-0000-0000-0000E3030000}"/>
    <cellStyle name="Normal 2 45 6" xfId="996" xr:uid="{00000000-0005-0000-0000-0000E4030000}"/>
    <cellStyle name="Normal 2 45 7" xfId="997" xr:uid="{00000000-0005-0000-0000-0000E5030000}"/>
    <cellStyle name="Normal 2 45 8" xfId="998" xr:uid="{00000000-0005-0000-0000-0000E6030000}"/>
    <cellStyle name="Normal 2 45 9" xfId="999" xr:uid="{00000000-0005-0000-0000-0000E7030000}"/>
    <cellStyle name="Normal 2 45_100114_ReCiPe_endpoint_orginalversion-Sander" xfId="1000" xr:uid="{00000000-0005-0000-0000-0000E8030000}"/>
    <cellStyle name="Normal 2 46" xfId="1001" xr:uid="{00000000-0005-0000-0000-0000E9030000}"/>
    <cellStyle name="Normal 2 46 10" xfId="1002" xr:uid="{00000000-0005-0000-0000-0000EA030000}"/>
    <cellStyle name="Normal 2 46 11" xfId="1003" xr:uid="{00000000-0005-0000-0000-0000EB030000}"/>
    <cellStyle name="Normal 2 46 12" xfId="1004" xr:uid="{00000000-0005-0000-0000-0000EC030000}"/>
    <cellStyle name="Normal 2 46 13" xfId="1005" xr:uid="{00000000-0005-0000-0000-0000ED030000}"/>
    <cellStyle name="Normal 2 46 2" xfId="1006" xr:uid="{00000000-0005-0000-0000-0000EE030000}"/>
    <cellStyle name="Normal 2 46 3" xfId="1007" xr:uid="{00000000-0005-0000-0000-0000EF030000}"/>
    <cellStyle name="Normal 2 46 4" xfId="1008" xr:uid="{00000000-0005-0000-0000-0000F0030000}"/>
    <cellStyle name="Normal 2 46 5" xfId="1009" xr:uid="{00000000-0005-0000-0000-0000F1030000}"/>
    <cellStyle name="Normal 2 46 6" xfId="1010" xr:uid="{00000000-0005-0000-0000-0000F2030000}"/>
    <cellStyle name="Normal 2 46 7" xfId="1011" xr:uid="{00000000-0005-0000-0000-0000F3030000}"/>
    <cellStyle name="Normal 2 46 8" xfId="1012" xr:uid="{00000000-0005-0000-0000-0000F4030000}"/>
    <cellStyle name="Normal 2 46 9" xfId="1013" xr:uid="{00000000-0005-0000-0000-0000F5030000}"/>
    <cellStyle name="Normal 2 46_100114_ReCiPe_endpoint_orginalversion-Sander" xfId="1014" xr:uid="{00000000-0005-0000-0000-0000F6030000}"/>
    <cellStyle name="Normal 2 47" xfId="1015" xr:uid="{00000000-0005-0000-0000-0000F7030000}"/>
    <cellStyle name="Normal 2 47 10" xfId="1016" xr:uid="{00000000-0005-0000-0000-0000F8030000}"/>
    <cellStyle name="Normal 2 47 11" xfId="1017" xr:uid="{00000000-0005-0000-0000-0000F9030000}"/>
    <cellStyle name="Normal 2 47 12" xfId="1018" xr:uid="{00000000-0005-0000-0000-0000FA030000}"/>
    <cellStyle name="Normal 2 47 13" xfId="1019" xr:uid="{00000000-0005-0000-0000-0000FB030000}"/>
    <cellStyle name="Normal 2 47 2" xfId="1020" xr:uid="{00000000-0005-0000-0000-0000FC030000}"/>
    <cellStyle name="Normal 2 47 3" xfId="1021" xr:uid="{00000000-0005-0000-0000-0000FD030000}"/>
    <cellStyle name="Normal 2 47 4" xfId="1022" xr:uid="{00000000-0005-0000-0000-0000FE030000}"/>
    <cellStyle name="Normal 2 47 5" xfId="1023" xr:uid="{00000000-0005-0000-0000-0000FF030000}"/>
    <cellStyle name="Normal 2 47 6" xfId="1024" xr:uid="{00000000-0005-0000-0000-000000040000}"/>
    <cellStyle name="Normal 2 47 7" xfId="1025" xr:uid="{00000000-0005-0000-0000-000001040000}"/>
    <cellStyle name="Normal 2 47 8" xfId="1026" xr:uid="{00000000-0005-0000-0000-000002040000}"/>
    <cellStyle name="Normal 2 47 9" xfId="1027" xr:uid="{00000000-0005-0000-0000-000003040000}"/>
    <cellStyle name="Normal 2 47_100114_ReCiPe_endpoint_orginalversion-Sander" xfId="1028" xr:uid="{00000000-0005-0000-0000-000004040000}"/>
    <cellStyle name="Normal 2 48" xfId="1029" xr:uid="{00000000-0005-0000-0000-000005040000}"/>
    <cellStyle name="Normal 2 48 10" xfId="1030" xr:uid="{00000000-0005-0000-0000-000006040000}"/>
    <cellStyle name="Normal 2 48 11" xfId="1031" xr:uid="{00000000-0005-0000-0000-000007040000}"/>
    <cellStyle name="Normal 2 48 12" xfId="1032" xr:uid="{00000000-0005-0000-0000-000008040000}"/>
    <cellStyle name="Normal 2 48 13" xfId="1033" xr:uid="{00000000-0005-0000-0000-000009040000}"/>
    <cellStyle name="Normal 2 48 2" xfId="1034" xr:uid="{00000000-0005-0000-0000-00000A040000}"/>
    <cellStyle name="Normal 2 48 3" xfId="1035" xr:uid="{00000000-0005-0000-0000-00000B040000}"/>
    <cellStyle name="Normal 2 48 4" xfId="1036" xr:uid="{00000000-0005-0000-0000-00000C040000}"/>
    <cellStyle name="Normal 2 48 5" xfId="1037" xr:uid="{00000000-0005-0000-0000-00000D040000}"/>
    <cellStyle name="Normal 2 48 6" xfId="1038" xr:uid="{00000000-0005-0000-0000-00000E040000}"/>
    <cellStyle name="Normal 2 48 7" xfId="1039" xr:uid="{00000000-0005-0000-0000-00000F040000}"/>
    <cellStyle name="Normal 2 48 8" xfId="1040" xr:uid="{00000000-0005-0000-0000-000010040000}"/>
    <cellStyle name="Normal 2 48 9" xfId="1041" xr:uid="{00000000-0005-0000-0000-000011040000}"/>
    <cellStyle name="Normal 2 48_100114_ReCiPe_endpoint_orginalversion-Sander" xfId="1042" xr:uid="{00000000-0005-0000-0000-000012040000}"/>
    <cellStyle name="Normal 2 49" xfId="1043" xr:uid="{00000000-0005-0000-0000-000013040000}"/>
    <cellStyle name="Normal 2 49 10" xfId="1044" xr:uid="{00000000-0005-0000-0000-000014040000}"/>
    <cellStyle name="Normal 2 49 11" xfId="1045" xr:uid="{00000000-0005-0000-0000-000015040000}"/>
    <cellStyle name="Normal 2 49 12" xfId="1046" xr:uid="{00000000-0005-0000-0000-000016040000}"/>
    <cellStyle name="Normal 2 49 13" xfId="1047" xr:uid="{00000000-0005-0000-0000-000017040000}"/>
    <cellStyle name="Normal 2 49 2" xfId="1048" xr:uid="{00000000-0005-0000-0000-000018040000}"/>
    <cellStyle name="Normal 2 49 3" xfId="1049" xr:uid="{00000000-0005-0000-0000-000019040000}"/>
    <cellStyle name="Normal 2 49 4" xfId="1050" xr:uid="{00000000-0005-0000-0000-00001A040000}"/>
    <cellStyle name="Normal 2 49 5" xfId="1051" xr:uid="{00000000-0005-0000-0000-00001B040000}"/>
    <cellStyle name="Normal 2 49 6" xfId="1052" xr:uid="{00000000-0005-0000-0000-00001C040000}"/>
    <cellStyle name="Normal 2 49 7" xfId="1053" xr:uid="{00000000-0005-0000-0000-00001D040000}"/>
    <cellStyle name="Normal 2 49 8" xfId="1054" xr:uid="{00000000-0005-0000-0000-00001E040000}"/>
    <cellStyle name="Normal 2 49 9" xfId="1055" xr:uid="{00000000-0005-0000-0000-00001F040000}"/>
    <cellStyle name="Normal 2 49_100114_ReCiPe_endpoint_orginalversion-Sander" xfId="1056" xr:uid="{00000000-0005-0000-0000-000020040000}"/>
    <cellStyle name="Normal 2 5" xfId="1057" xr:uid="{00000000-0005-0000-0000-000021040000}"/>
    <cellStyle name="Normal 2 50" xfId="1058" xr:uid="{00000000-0005-0000-0000-000022040000}"/>
    <cellStyle name="Normal 2 50 10" xfId="1059" xr:uid="{00000000-0005-0000-0000-000023040000}"/>
    <cellStyle name="Normal 2 50 11" xfId="1060" xr:uid="{00000000-0005-0000-0000-000024040000}"/>
    <cellStyle name="Normal 2 50 12" xfId="1061" xr:uid="{00000000-0005-0000-0000-000025040000}"/>
    <cellStyle name="Normal 2 50 13" xfId="1062" xr:uid="{00000000-0005-0000-0000-000026040000}"/>
    <cellStyle name="Normal 2 50 2" xfId="1063" xr:uid="{00000000-0005-0000-0000-000027040000}"/>
    <cellStyle name="Normal 2 50 3" xfId="1064" xr:uid="{00000000-0005-0000-0000-000028040000}"/>
    <cellStyle name="Normal 2 50 4" xfId="1065" xr:uid="{00000000-0005-0000-0000-000029040000}"/>
    <cellStyle name="Normal 2 50 5" xfId="1066" xr:uid="{00000000-0005-0000-0000-00002A040000}"/>
    <cellStyle name="Normal 2 50 6" xfId="1067" xr:uid="{00000000-0005-0000-0000-00002B040000}"/>
    <cellStyle name="Normal 2 50 7" xfId="1068" xr:uid="{00000000-0005-0000-0000-00002C040000}"/>
    <cellStyle name="Normal 2 50 8" xfId="1069" xr:uid="{00000000-0005-0000-0000-00002D040000}"/>
    <cellStyle name="Normal 2 50 9" xfId="1070" xr:uid="{00000000-0005-0000-0000-00002E040000}"/>
    <cellStyle name="Normal 2 50_100114_ReCiPe_endpoint_orginalversion-Sander" xfId="1071" xr:uid="{00000000-0005-0000-0000-00002F040000}"/>
    <cellStyle name="Normal 2 51" xfId="1072" xr:uid="{00000000-0005-0000-0000-000030040000}"/>
    <cellStyle name="Normal 2 51 10" xfId="1073" xr:uid="{00000000-0005-0000-0000-000031040000}"/>
    <cellStyle name="Normal 2 51 11" xfId="1074" xr:uid="{00000000-0005-0000-0000-000032040000}"/>
    <cellStyle name="Normal 2 51 12" xfId="1075" xr:uid="{00000000-0005-0000-0000-000033040000}"/>
    <cellStyle name="Normal 2 51 13" xfId="1076" xr:uid="{00000000-0005-0000-0000-000034040000}"/>
    <cellStyle name="Normal 2 51 2" xfId="1077" xr:uid="{00000000-0005-0000-0000-000035040000}"/>
    <cellStyle name="Normal 2 51 3" xfId="1078" xr:uid="{00000000-0005-0000-0000-000036040000}"/>
    <cellStyle name="Normal 2 51 4" xfId="1079" xr:uid="{00000000-0005-0000-0000-000037040000}"/>
    <cellStyle name="Normal 2 51 5" xfId="1080" xr:uid="{00000000-0005-0000-0000-000038040000}"/>
    <cellStyle name="Normal 2 51 6" xfId="1081" xr:uid="{00000000-0005-0000-0000-000039040000}"/>
    <cellStyle name="Normal 2 51 7" xfId="1082" xr:uid="{00000000-0005-0000-0000-00003A040000}"/>
    <cellStyle name="Normal 2 51 8" xfId="1083" xr:uid="{00000000-0005-0000-0000-00003B040000}"/>
    <cellStyle name="Normal 2 51 9" xfId="1084" xr:uid="{00000000-0005-0000-0000-00003C040000}"/>
    <cellStyle name="Normal 2 51_100114_ReCiPe_endpoint_orginalversion-Sander" xfId="1085" xr:uid="{00000000-0005-0000-0000-00003D040000}"/>
    <cellStyle name="Normal 2 52" xfId="1086" xr:uid="{00000000-0005-0000-0000-00003E040000}"/>
    <cellStyle name="Normal 2 52 10" xfId="1087" xr:uid="{00000000-0005-0000-0000-00003F040000}"/>
    <cellStyle name="Normal 2 52 11" xfId="1088" xr:uid="{00000000-0005-0000-0000-000040040000}"/>
    <cellStyle name="Normal 2 52 12" xfId="1089" xr:uid="{00000000-0005-0000-0000-000041040000}"/>
    <cellStyle name="Normal 2 52 13" xfId="1090" xr:uid="{00000000-0005-0000-0000-000042040000}"/>
    <cellStyle name="Normal 2 52 2" xfId="1091" xr:uid="{00000000-0005-0000-0000-000043040000}"/>
    <cellStyle name="Normal 2 52 3" xfId="1092" xr:uid="{00000000-0005-0000-0000-000044040000}"/>
    <cellStyle name="Normal 2 52 4" xfId="1093" xr:uid="{00000000-0005-0000-0000-000045040000}"/>
    <cellStyle name="Normal 2 52 5" xfId="1094" xr:uid="{00000000-0005-0000-0000-000046040000}"/>
    <cellStyle name="Normal 2 52 6" xfId="1095" xr:uid="{00000000-0005-0000-0000-000047040000}"/>
    <cellStyle name="Normal 2 52 7" xfId="1096" xr:uid="{00000000-0005-0000-0000-000048040000}"/>
    <cellStyle name="Normal 2 52 8" xfId="1097" xr:uid="{00000000-0005-0000-0000-000049040000}"/>
    <cellStyle name="Normal 2 52 9" xfId="1098" xr:uid="{00000000-0005-0000-0000-00004A040000}"/>
    <cellStyle name="Normal 2 52_100114_ReCiPe_endpoint_orginalversion-Sander" xfId="1099" xr:uid="{00000000-0005-0000-0000-00004B040000}"/>
    <cellStyle name="Normal 2 53" xfId="1100" xr:uid="{00000000-0005-0000-0000-00004C040000}"/>
    <cellStyle name="Normal 2 53 10" xfId="1101" xr:uid="{00000000-0005-0000-0000-00004D040000}"/>
    <cellStyle name="Normal 2 53 11" xfId="1102" xr:uid="{00000000-0005-0000-0000-00004E040000}"/>
    <cellStyle name="Normal 2 53 12" xfId="1103" xr:uid="{00000000-0005-0000-0000-00004F040000}"/>
    <cellStyle name="Normal 2 53 13" xfId="1104" xr:uid="{00000000-0005-0000-0000-000050040000}"/>
    <cellStyle name="Normal 2 53 2" xfId="1105" xr:uid="{00000000-0005-0000-0000-000051040000}"/>
    <cellStyle name="Normal 2 53 3" xfId="1106" xr:uid="{00000000-0005-0000-0000-000052040000}"/>
    <cellStyle name="Normal 2 53 4" xfId="1107" xr:uid="{00000000-0005-0000-0000-000053040000}"/>
    <cellStyle name="Normal 2 53 5" xfId="1108" xr:uid="{00000000-0005-0000-0000-000054040000}"/>
    <cellStyle name="Normal 2 53 6" xfId="1109" xr:uid="{00000000-0005-0000-0000-000055040000}"/>
    <cellStyle name="Normal 2 53 7" xfId="1110" xr:uid="{00000000-0005-0000-0000-000056040000}"/>
    <cellStyle name="Normal 2 53 8" xfId="1111" xr:uid="{00000000-0005-0000-0000-000057040000}"/>
    <cellStyle name="Normal 2 53 9" xfId="1112" xr:uid="{00000000-0005-0000-0000-000058040000}"/>
    <cellStyle name="Normal 2 53_100114_ReCiPe_endpoint_orginalversion-Sander" xfId="1113" xr:uid="{00000000-0005-0000-0000-000059040000}"/>
    <cellStyle name="Normal 2 54" xfId="1114" xr:uid="{00000000-0005-0000-0000-00005A040000}"/>
    <cellStyle name="Normal 2 54 10" xfId="1115" xr:uid="{00000000-0005-0000-0000-00005B040000}"/>
    <cellStyle name="Normal 2 54 11" xfId="1116" xr:uid="{00000000-0005-0000-0000-00005C040000}"/>
    <cellStyle name="Normal 2 54 12" xfId="1117" xr:uid="{00000000-0005-0000-0000-00005D040000}"/>
    <cellStyle name="Normal 2 54 13" xfId="1118" xr:uid="{00000000-0005-0000-0000-00005E040000}"/>
    <cellStyle name="Normal 2 54 2" xfId="1119" xr:uid="{00000000-0005-0000-0000-00005F040000}"/>
    <cellStyle name="Normal 2 54 3" xfId="1120" xr:uid="{00000000-0005-0000-0000-000060040000}"/>
    <cellStyle name="Normal 2 54 4" xfId="1121" xr:uid="{00000000-0005-0000-0000-000061040000}"/>
    <cellStyle name="Normal 2 54 5" xfId="1122" xr:uid="{00000000-0005-0000-0000-000062040000}"/>
    <cellStyle name="Normal 2 54 6" xfId="1123" xr:uid="{00000000-0005-0000-0000-000063040000}"/>
    <cellStyle name="Normal 2 54 7" xfId="1124" xr:uid="{00000000-0005-0000-0000-000064040000}"/>
    <cellStyle name="Normal 2 54 8" xfId="1125" xr:uid="{00000000-0005-0000-0000-000065040000}"/>
    <cellStyle name="Normal 2 54 9" xfId="1126" xr:uid="{00000000-0005-0000-0000-000066040000}"/>
    <cellStyle name="Normal 2 54_100114_ReCiPe_endpoint_orginalversion-Sander" xfId="1127" xr:uid="{00000000-0005-0000-0000-000067040000}"/>
    <cellStyle name="Normal 2 55" xfId="1128" xr:uid="{00000000-0005-0000-0000-000068040000}"/>
    <cellStyle name="Normal 2 55 10" xfId="1129" xr:uid="{00000000-0005-0000-0000-000069040000}"/>
    <cellStyle name="Normal 2 55 11" xfId="1130" xr:uid="{00000000-0005-0000-0000-00006A040000}"/>
    <cellStyle name="Normal 2 55 12" xfId="1131" xr:uid="{00000000-0005-0000-0000-00006B040000}"/>
    <cellStyle name="Normal 2 55 13" xfId="1132" xr:uid="{00000000-0005-0000-0000-00006C040000}"/>
    <cellStyle name="Normal 2 55 2" xfId="1133" xr:uid="{00000000-0005-0000-0000-00006D040000}"/>
    <cellStyle name="Normal 2 55 3" xfId="1134" xr:uid="{00000000-0005-0000-0000-00006E040000}"/>
    <cellStyle name="Normal 2 55 4" xfId="1135" xr:uid="{00000000-0005-0000-0000-00006F040000}"/>
    <cellStyle name="Normal 2 55 5" xfId="1136" xr:uid="{00000000-0005-0000-0000-000070040000}"/>
    <cellStyle name="Normal 2 55 6" xfId="1137" xr:uid="{00000000-0005-0000-0000-000071040000}"/>
    <cellStyle name="Normal 2 55 7" xfId="1138" xr:uid="{00000000-0005-0000-0000-000072040000}"/>
    <cellStyle name="Normal 2 55 8" xfId="1139" xr:uid="{00000000-0005-0000-0000-000073040000}"/>
    <cellStyle name="Normal 2 55 9" xfId="1140" xr:uid="{00000000-0005-0000-0000-000074040000}"/>
    <cellStyle name="Normal 2 55_100114_ReCiPe_endpoint_orginalversion-Sander" xfId="1141" xr:uid="{00000000-0005-0000-0000-000075040000}"/>
    <cellStyle name="Normal 2 56" xfId="1142" xr:uid="{00000000-0005-0000-0000-000076040000}"/>
    <cellStyle name="Normal 2 56 10" xfId="1143" xr:uid="{00000000-0005-0000-0000-000077040000}"/>
    <cellStyle name="Normal 2 56 11" xfId="1144" xr:uid="{00000000-0005-0000-0000-000078040000}"/>
    <cellStyle name="Normal 2 56 12" xfId="1145" xr:uid="{00000000-0005-0000-0000-000079040000}"/>
    <cellStyle name="Normal 2 56 13" xfId="1146" xr:uid="{00000000-0005-0000-0000-00007A040000}"/>
    <cellStyle name="Normal 2 56 2" xfId="1147" xr:uid="{00000000-0005-0000-0000-00007B040000}"/>
    <cellStyle name="Normal 2 56 3" xfId="1148" xr:uid="{00000000-0005-0000-0000-00007C040000}"/>
    <cellStyle name="Normal 2 56 4" xfId="1149" xr:uid="{00000000-0005-0000-0000-00007D040000}"/>
    <cellStyle name="Normal 2 56 5" xfId="1150" xr:uid="{00000000-0005-0000-0000-00007E040000}"/>
    <cellStyle name="Normal 2 56 6" xfId="1151" xr:uid="{00000000-0005-0000-0000-00007F040000}"/>
    <cellStyle name="Normal 2 56 7" xfId="1152" xr:uid="{00000000-0005-0000-0000-000080040000}"/>
    <cellStyle name="Normal 2 56 8" xfId="1153" xr:uid="{00000000-0005-0000-0000-000081040000}"/>
    <cellStyle name="Normal 2 56 9" xfId="1154" xr:uid="{00000000-0005-0000-0000-000082040000}"/>
    <cellStyle name="Normal 2 56_100114_ReCiPe_endpoint_orginalversion-Sander" xfId="1155" xr:uid="{00000000-0005-0000-0000-000083040000}"/>
    <cellStyle name="Normal 2 57" xfId="1156" xr:uid="{00000000-0005-0000-0000-000084040000}"/>
    <cellStyle name="Normal 2 57 10" xfId="1157" xr:uid="{00000000-0005-0000-0000-000085040000}"/>
    <cellStyle name="Normal 2 57 11" xfId="1158" xr:uid="{00000000-0005-0000-0000-000086040000}"/>
    <cellStyle name="Normal 2 57 12" xfId="1159" xr:uid="{00000000-0005-0000-0000-000087040000}"/>
    <cellStyle name="Normal 2 57 13" xfId="1160" xr:uid="{00000000-0005-0000-0000-000088040000}"/>
    <cellStyle name="Normal 2 57 2" xfId="1161" xr:uid="{00000000-0005-0000-0000-000089040000}"/>
    <cellStyle name="Normal 2 57 3" xfId="1162" xr:uid="{00000000-0005-0000-0000-00008A040000}"/>
    <cellStyle name="Normal 2 57 4" xfId="1163" xr:uid="{00000000-0005-0000-0000-00008B040000}"/>
    <cellStyle name="Normal 2 57 5" xfId="1164" xr:uid="{00000000-0005-0000-0000-00008C040000}"/>
    <cellStyle name="Normal 2 57 6" xfId="1165" xr:uid="{00000000-0005-0000-0000-00008D040000}"/>
    <cellStyle name="Normal 2 57 7" xfId="1166" xr:uid="{00000000-0005-0000-0000-00008E040000}"/>
    <cellStyle name="Normal 2 57 8" xfId="1167" xr:uid="{00000000-0005-0000-0000-00008F040000}"/>
    <cellStyle name="Normal 2 57 9" xfId="1168" xr:uid="{00000000-0005-0000-0000-000090040000}"/>
    <cellStyle name="Normal 2 57_100114_ReCiPe_endpoint_orginalversion-Sander" xfId="1169" xr:uid="{00000000-0005-0000-0000-000091040000}"/>
    <cellStyle name="Normal 2 58" xfId="1170" xr:uid="{00000000-0005-0000-0000-000092040000}"/>
    <cellStyle name="Normal 2 58 10" xfId="1171" xr:uid="{00000000-0005-0000-0000-000093040000}"/>
    <cellStyle name="Normal 2 58 11" xfId="1172" xr:uid="{00000000-0005-0000-0000-000094040000}"/>
    <cellStyle name="Normal 2 58 12" xfId="1173" xr:uid="{00000000-0005-0000-0000-000095040000}"/>
    <cellStyle name="Normal 2 58 13" xfId="1174" xr:uid="{00000000-0005-0000-0000-000096040000}"/>
    <cellStyle name="Normal 2 58 2" xfId="1175" xr:uid="{00000000-0005-0000-0000-000097040000}"/>
    <cellStyle name="Normal 2 58 3" xfId="1176" xr:uid="{00000000-0005-0000-0000-000098040000}"/>
    <cellStyle name="Normal 2 58 4" xfId="1177" xr:uid="{00000000-0005-0000-0000-000099040000}"/>
    <cellStyle name="Normal 2 58 5" xfId="1178" xr:uid="{00000000-0005-0000-0000-00009A040000}"/>
    <cellStyle name="Normal 2 58 6" xfId="1179" xr:uid="{00000000-0005-0000-0000-00009B040000}"/>
    <cellStyle name="Normal 2 58 7" xfId="1180" xr:uid="{00000000-0005-0000-0000-00009C040000}"/>
    <cellStyle name="Normal 2 58 8" xfId="1181" xr:uid="{00000000-0005-0000-0000-00009D040000}"/>
    <cellStyle name="Normal 2 58 9" xfId="1182" xr:uid="{00000000-0005-0000-0000-00009E040000}"/>
    <cellStyle name="Normal 2 58_100114_ReCiPe_endpoint_orginalversion-Sander" xfId="1183" xr:uid="{00000000-0005-0000-0000-00009F040000}"/>
    <cellStyle name="Normal 2 59" xfId="1184" xr:uid="{00000000-0005-0000-0000-0000A0040000}"/>
    <cellStyle name="Normal 2 59 10" xfId="1185" xr:uid="{00000000-0005-0000-0000-0000A1040000}"/>
    <cellStyle name="Normal 2 59 11" xfId="1186" xr:uid="{00000000-0005-0000-0000-0000A2040000}"/>
    <cellStyle name="Normal 2 59 12" xfId="1187" xr:uid="{00000000-0005-0000-0000-0000A3040000}"/>
    <cellStyle name="Normal 2 59 13" xfId="1188" xr:uid="{00000000-0005-0000-0000-0000A4040000}"/>
    <cellStyle name="Normal 2 59 2" xfId="1189" xr:uid="{00000000-0005-0000-0000-0000A5040000}"/>
    <cellStyle name="Normal 2 59 3" xfId="1190" xr:uid="{00000000-0005-0000-0000-0000A6040000}"/>
    <cellStyle name="Normal 2 59 4" xfId="1191" xr:uid="{00000000-0005-0000-0000-0000A7040000}"/>
    <cellStyle name="Normal 2 59 5" xfId="1192" xr:uid="{00000000-0005-0000-0000-0000A8040000}"/>
    <cellStyle name="Normal 2 59 6" xfId="1193" xr:uid="{00000000-0005-0000-0000-0000A9040000}"/>
    <cellStyle name="Normal 2 59 7" xfId="1194" xr:uid="{00000000-0005-0000-0000-0000AA040000}"/>
    <cellStyle name="Normal 2 59 8" xfId="1195" xr:uid="{00000000-0005-0000-0000-0000AB040000}"/>
    <cellStyle name="Normal 2 59 9" xfId="1196" xr:uid="{00000000-0005-0000-0000-0000AC040000}"/>
    <cellStyle name="Normal 2 59_100114_ReCiPe_endpoint_orginalversion-Sander" xfId="1197" xr:uid="{00000000-0005-0000-0000-0000AD040000}"/>
    <cellStyle name="Normal 2 6" xfId="1198" xr:uid="{00000000-0005-0000-0000-0000AE040000}"/>
    <cellStyle name="Normal 2 60" xfId="1199" xr:uid="{00000000-0005-0000-0000-0000AF040000}"/>
    <cellStyle name="Normal 2 60 10" xfId="1200" xr:uid="{00000000-0005-0000-0000-0000B0040000}"/>
    <cellStyle name="Normal 2 60 11" xfId="1201" xr:uid="{00000000-0005-0000-0000-0000B1040000}"/>
    <cellStyle name="Normal 2 60 12" xfId="1202" xr:uid="{00000000-0005-0000-0000-0000B2040000}"/>
    <cellStyle name="Normal 2 60 13" xfId="1203" xr:uid="{00000000-0005-0000-0000-0000B3040000}"/>
    <cellStyle name="Normal 2 60 2" xfId="1204" xr:uid="{00000000-0005-0000-0000-0000B4040000}"/>
    <cellStyle name="Normal 2 60 3" xfId="1205" xr:uid="{00000000-0005-0000-0000-0000B5040000}"/>
    <cellStyle name="Normal 2 60 4" xfId="1206" xr:uid="{00000000-0005-0000-0000-0000B6040000}"/>
    <cellStyle name="Normal 2 60 5" xfId="1207" xr:uid="{00000000-0005-0000-0000-0000B7040000}"/>
    <cellStyle name="Normal 2 60 6" xfId="1208" xr:uid="{00000000-0005-0000-0000-0000B8040000}"/>
    <cellStyle name="Normal 2 60 7" xfId="1209" xr:uid="{00000000-0005-0000-0000-0000B9040000}"/>
    <cellStyle name="Normal 2 60 8" xfId="1210" xr:uid="{00000000-0005-0000-0000-0000BA040000}"/>
    <cellStyle name="Normal 2 60 9" xfId="1211" xr:uid="{00000000-0005-0000-0000-0000BB040000}"/>
    <cellStyle name="Normal 2 60_100114_ReCiPe_endpoint_orginalversion-Sander" xfId="1212" xr:uid="{00000000-0005-0000-0000-0000BC040000}"/>
    <cellStyle name="Normal 2 61" xfId="1213" xr:uid="{00000000-0005-0000-0000-0000BD040000}"/>
    <cellStyle name="Normal 2 7" xfId="1214" xr:uid="{00000000-0005-0000-0000-0000BE040000}"/>
    <cellStyle name="Normal 2 8" xfId="1215" xr:uid="{00000000-0005-0000-0000-0000BF040000}"/>
    <cellStyle name="Normal 2 9" xfId="1216" xr:uid="{00000000-0005-0000-0000-0000C0040000}"/>
    <cellStyle name="Normal 2 9 10" xfId="1217" xr:uid="{00000000-0005-0000-0000-0000C1040000}"/>
    <cellStyle name="Normal 2 9 11" xfId="1218" xr:uid="{00000000-0005-0000-0000-0000C2040000}"/>
    <cellStyle name="Normal 2 9 12" xfId="1219" xr:uid="{00000000-0005-0000-0000-0000C3040000}"/>
    <cellStyle name="Normal 2 9 13" xfId="1220" xr:uid="{00000000-0005-0000-0000-0000C4040000}"/>
    <cellStyle name="Normal 2 9 2" xfId="1221" xr:uid="{00000000-0005-0000-0000-0000C5040000}"/>
    <cellStyle name="Normal 2 9 3" xfId="1222" xr:uid="{00000000-0005-0000-0000-0000C6040000}"/>
    <cellStyle name="Normal 2 9 4" xfId="1223" xr:uid="{00000000-0005-0000-0000-0000C7040000}"/>
    <cellStyle name="Normal 2 9 5" xfId="1224" xr:uid="{00000000-0005-0000-0000-0000C8040000}"/>
    <cellStyle name="Normal 2 9 6" xfId="1225" xr:uid="{00000000-0005-0000-0000-0000C9040000}"/>
    <cellStyle name="Normal 2 9 7" xfId="1226" xr:uid="{00000000-0005-0000-0000-0000CA040000}"/>
    <cellStyle name="Normal 2 9 8" xfId="1227" xr:uid="{00000000-0005-0000-0000-0000CB040000}"/>
    <cellStyle name="Normal 2 9 9" xfId="1228" xr:uid="{00000000-0005-0000-0000-0000CC040000}"/>
    <cellStyle name="Normal 2 9_100114_ReCiPe_endpoint_orginalversion-Sander" xfId="1229" xr:uid="{00000000-0005-0000-0000-0000CD040000}"/>
    <cellStyle name="Normal 3" xfId="1230" xr:uid="{00000000-0005-0000-0000-0000CE040000}"/>
    <cellStyle name="Normal 4" xfId="1231" xr:uid="{00000000-0005-0000-0000-0000CF040000}"/>
    <cellStyle name="Normal 4 10" xfId="1232" xr:uid="{00000000-0005-0000-0000-0000D0040000}"/>
    <cellStyle name="Normal 4 11" xfId="1233" xr:uid="{00000000-0005-0000-0000-0000D1040000}"/>
    <cellStyle name="Normal 4 12" xfId="1234" xr:uid="{00000000-0005-0000-0000-0000D2040000}"/>
    <cellStyle name="Normal 4 13" xfId="1235" xr:uid="{00000000-0005-0000-0000-0000D3040000}"/>
    <cellStyle name="Normal 4 2" xfId="1236" xr:uid="{00000000-0005-0000-0000-0000D4040000}"/>
    <cellStyle name="Normal 4 3" xfId="1237" xr:uid="{00000000-0005-0000-0000-0000D5040000}"/>
    <cellStyle name="Normal 4 4" xfId="1238" xr:uid="{00000000-0005-0000-0000-0000D6040000}"/>
    <cellStyle name="Normal 4 5" xfId="1239" xr:uid="{00000000-0005-0000-0000-0000D7040000}"/>
    <cellStyle name="Normal 4 6" xfId="1240" xr:uid="{00000000-0005-0000-0000-0000D8040000}"/>
    <cellStyle name="Normal 4 7" xfId="1241" xr:uid="{00000000-0005-0000-0000-0000D9040000}"/>
    <cellStyle name="Normal 4 8" xfId="1242" xr:uid="{00000000-0005-0000-0000-0000DA040000}"/>
    <cellStyle name="Normal 4 9" xfId="1243" xr:uid="{00000000-0005-0000-0000-0000DB040000}"/>
    <cellStyle name="Normal 5" xfId="1244" xr:uid="{00000000-0005-0000-0000-0000DC040000}"/>
    <cellStyle name="Normal 79 10" xfId="1245" xr:uid="{00000000-0005-0000-0000-0000DD040000}"/>
    <cellStyle name="Normal 79 11" xfId="1246" xr:uid="{00000000-0005-0000-0000-0000DE040000}"/>
    <cellStyle name="Normal 79 12" xfId="1247" xr:uid="{00000000-0005-0000-0000-0000DF040000}"/>
    <cellStyle name="Normal 79 13" xfId="1248" xr:uid="{00000000-0005-0000-0000-0000E0040000}"/>
    <cellStyle name="Normal 79 2" xfId="1249" xr:uid="{00000000-0005-0000-0000-0000E1040000}"/>
    <cellStyle name="Normal 79 3" xfId="1250" xr:uid="{00000000-0005-0000-0000-0000E2040000}"/>
    <cellStyle name="Normal 79 4" xfId="1251" xr:uid="{00000000-0005-0000-0000-0000E3040000}"/>
    <cellStyle name="Normal 79 5" xfId="1252" xr:uid="{00000000-0005-0000-0000-0000E4040000}"/>
    <cellStyle name="Normal 79 6" xfId="1253" xr:uid="{00000000-0005-0000-0000-0000E5040000}"/>
    <cellStyle name="Normal 79 7" xfId="1254" xr:uid="{00000000-0005-0000-0000-0000E6040000}"/>
    <cellStyle name="Normal 79 8" xfId="1255" xr:uid="{00000000-0005-0000-0000-0000E7040000}"/>
    <cellStyle name="Normal 79 9" xfId="1256" xr:uid="{00000000-0005-0000-0000-0000E8040000}"/>
    <cellStyle name="Normal 80 10" xfId="1257" xr:uid="{00000000-0005-0000-0000-0000E9040000}"/>
    <cellStyle name="Normal 80 11" xfId="1258" xr:uid="{00000000-0005-0000-0000-0000EA040000}"/>
    <cellStyle name="Normal 80 12" xfId="1259" xr:uid="{00000000-0005-0000-0000-0000EB040000}"/>
    <cellStyle name="Normal 80 13" xfId="1260" xr:uid="{00000000-0005-0000-0000-0000EC040000}"/>
    <cellStyle name="Normal 80 2" xfId="1261" xr:uid="{00000000-0005-0000-0000-0000ED040000}"/>
    <cellStyle name="Normal 80 3" xfId="1262" xr:uid="{00000000-0005-0000-0000-0000EE040000}"/>
    <cellStyle name="Normal 80 4" xfId="1263" xr:uid="{00000000-0005-0000-0000-0000EF040000}"/>
    <cellStyle name="Normal 80 5" xfId="1264" xr:uid="{00000000-0005-0000-0000-0000F0040000}"/>
    <cellStyle name="Normal 80 6" xfId="1265" xr:uid="{00000000-0005-0000-0000-0000F1040000}"/>
    <cellStyle name="Normal 80 7" xfId="1266" xr:uid="{00000000-0005-0000-0000-0000F2040000}"/>
    <cellStyle name="Normal 80 8" xfId="1267" xr:uid="{00000000-0005-0000-0000-0000F3040000}"/>
    <cellStyle name="Normal 80 9" xfId="1268" xr:uid="{00000000-0005-0000-0000-0000F4040000}"/>
    <cellStyle name="Normal 81" xfId="1269" xr:uid="{00000000-0005-0000-0000-0000F5040000}"/>
    <cellStyle name="Normal 82" xfId="1270" xr:uid="{00000000-0005-0000-0000-0000F6040000}"/>
    <cellStyle name="Normal 83" xfId="1271" xr:uid="{00000000-0005-0000-0000-0000F7040000}"/>
    <cellStyle name="Normal 84" xfId="1272" xr:uid="{00000000-0005-0000-0000-0000F8040000}"/>
    <cellStyle name="Normal 85" xfId="1273" xr:uid="{00000000-0005-0000-0000-0000F9040000}"/>
    <cellStyle name="Normal 86" xfId="1274" xr:uid="{00000000-0005-0000-0000-0000FA040000}"/>
    <cellStyle name="Normal 87" xfId="1275" xr:uid="{00000000-0005-0000-0000-0000FB040000}"/>
    <cellStyle name="Normal 88" xfId="1276" xr:uid="{00000000-0005-0000-0000-0000FC040000}"/>
    <cellStyle name="Normal 89" xfId="1277" xr:uid="{00000000-0005-0000-0000-0000FD040000}"/>
    <cellStyle name="Normal 90" xfId="1278" xr:uid="{00000000-0005-0000-0000-0000FE040000}"/>
    <cellStyle name="Normal 91" xfId="1279" xr:uid="{00000000-0005-0000-0000-0000FF040000}"/>
    <cellStyle name="Normal 92" xfId="1280" xr:uid="{00000000-0005-0000-0000-000000050000}"/>
    <cellStyle name="Normal GHG Numbers (0.00)" xfId="1281" xr:uid="{00000000-0005-0000-0000-000001050000}"/>
    <cellStyle name="Normal GHG Textfiels Bold" xfId="1282" xr:uid="{00000000-0005-0000-0000-000002050000}"/>
    <cellStyle name="Normal GHG whole table" xfId="1283" xr:uid="{00000000-0005-0000-0000-000003050000}"/>
    <cellStyle name="Note 2" xfId="1284" xr:uid="{00000000-0005-0000-0000-000004050000}"/>
    <cellStyle name="Note 2 10" xfId="1285" xr:uid="{00000000-0005-0000-0000-000005050000}"/>
    <cellStyle name="Note 2 11" xfId="1286" xr:uid="{00000000-0005-0000-0000-000006050000}"/>
    <cellStyle name="Note 2 12" xfId="1287" xr:uid="{00000000-0005-0000-0000-000007050000}"/>
    <cellStyle name="Note 2 13" xfId="1288" xr:uid="{00000000-0005-0000-0000-000008050000}"/>
    <cellStyle name="Note 2 14" xfId="1289" xr:uid="{00000000-0005-0000-0000-000009050000}"/>
    <cellStyle name="Note 2 15" xfId="1290" xr:uid="{00000000-0005-0000-0000-00000A050000}"/>
    <cellStyle name="Note 2 16" xfId="1291" xr:uid="{00000000-0005-0000-0000-00000B050000}"/>
    <cellStyle name="Note 2 17" xfId="1292" xr:uid="{00000000-0005-0000-0000-00000C050000}"/>
    <cellStyle name="Note 2 18" xfId="1293" xr:uid="{00000000-0005-0000-0000-00000D050000}"/>
    <cellStyle name="Note 2 19" xfId="1294" xr:uid="{00000000-0005-0000-0000-00000E050000}"/>
    <cellStyle name="Note 2 2" xfId="1295" xr:uid="{00000000-0005-0000-0000-00000F050000}"/>
    <cellStyle name="Note 2 20" xfId="1296" xr:uid="{00000000-0005-0000-0000-000010050000}"/>
    <cellStyle name="Note 2 21" xfId="1297" xr:uid="{00000000-0005-0000-0000-000011050000}"/>
    <cellStyle name="Note 2 22" xfId="1298" xr:uid="{00000000-0005-0000-0000-000012050000}"/>
    <cellStyle name="Note 2 23" xfId="1299" xr:uid="{00000000-0005-0000-0000-000013050000}"/>
    <cellStyle name="Note 2 24" xfId="1300" xr:uid="{00000000-0005-0000-0000-000014050000}"/>
    <cellStyle name="Note 2 25" xfId="1301" xr:uid="{00000000-0005-0000-0000-000015050000}"/>
    <cellStyle name="Note 2 26" xfId="1302" xr:uid="{00000000-0005-0000-0000-000016050000}"/>
    <cellStyle name="Note 2 27" xfId="1303" xr:uid="{00000000-0005-0000-0000-000017050000}"/>
    <cellStyle name="Note 2 28" xfId="1304" xr:uid="{00000000-0005-0000-0000-000018050000}"/>
    <cellStyle name="Note 2 29" xfId="1305" xr:uid="{00000000-0005-0000-0000-000019050000}"/>
    <cellStyle name="Note 2 3" xfId="1306" xr:uid="{00000000-0005-0000-0000-00001A050000}"/>
    <cellStyle name="Note 2 30" xfId="1307" xr:uid="{00000000-0005-0000-0000-00001B050000}"/>
    <cellStyle name="Note 2 31" xfId="1308" xr:uid="{00000000-0005-0000-0000-00001C050000}"/>
    <cellStyle name="Note 2 32" xfId="1309" xr:uid="{00000000-0005-0000-0000-00001D050000}"/>
    <cellStyle name="Note 2 33" xfId="1310" xr:uid="{00000000-0005-0000-0000-00001E050000}"/>
    <cellStyle name="Note 2 34" xfId="1311" xr:uid="{00000000-0005-0000-0000-00001F050000}"/>
    <cellStyle name="Note 2 35" xfId="1312" xr:uid="{00000000-0005-0000-0000-000020050000}"/>
    <cellStyle name="Note 2 36" xfId="1313" xr:uid="{00000000-0005-0000-0000-000021050000}"/>
    <cellStyle name="Note 2 37" xfId="1314" xr:uid="{00000000-0005-0000-0000-000022050000}"/>
    <cellStyle name="Note 2 38" xfId="1315" xr:uid="{00000000-0005-0000-0000-000023050000}"/>
    <cellStyle name="Note 2 39" xfId="1316" xr:uid="{00000000-0005-0000-0000-000024050000}"/>
    <cellStyle name="Note 2 4" xfId="1317" xr:uid="{00000000-0005-0000-0000-000025050000}"/>
    <cellStyle name="Note 2 40" xfId="1318" xr:uid="{00000000-0005-0000-0000-000026050000}"/>
    <cellStyle name="Note 2 41" xfId="1319" xr:uid="{00000000-0005-0000-0000-000027050000}"/>
    <cellStyle name="Note 2 42" xfId="1320" xr:uid="{00000000-0005-0000-0000-000028050000}"/>
    <cellStyle name="Note 2 43" xfId="1321" xr:uid="{00000000-0005-0000-0000-000029050000}"/>
    <cellStyle name="Note 2 44" xfId="1322" xr:uid="{00000000-0005-0000-0000-00002A050000}"/>
    <cellStyle name="Note 2 45" xfId="1323" xr:uid="{00000000-0005-0000-0000-00002B050000}"/>
    <cellStyle name="Note 2 46" xfId="1324" xr:uid="{00000000-0005-0000-0000-00002C050000}"/>
    <cellStyle name="Note 2 47" xfId="1325" xr:uid="{00000000-0005-0000-0000-00002D050000}"/>
    <cellStyle name="Note 2 48" xfId="1326" xr:uid="{00000000-0005-0000-0000-00002E050000}"/>
    <cellStyle name="Note 2 49" xfId="1327" xr:uid="{00000000-0005-0000-0000-00002F050000}"/>
    <cellStyle name="Note 2 5" xfId="1328" xr:uid="{00000000-0005-0000-0000-000030050000}"/>
    <cellStyle name="Note 2 50" xfId="1329" xr:uid="{00000000-0005-0000-0000-000031050000}"/>
    <cellStyle name="Note 2 51" xfId="1330" xr:uid="{00000000-0005-0000-0000-000032050000}"/>
    <cellStyle name="Note 2 52" xfId="1331" xr:uid="{00000000-0005-0000-0000-000033050000}"/>
    <cellStyle name="Note 2 53" xfId="1332" xr:uid="{00000000-0005-0000-0000-000034050000}"/>
    <cellStyle name="Note 2 54" xfId="1333" xr:uid="{00000000-0005-0000-0000-000035050000}"/>
    <cellStyle name="Note 2 55" xfId="1334" xr:uid="{00000000-0005-0000-0000-000036050000}"/>
    <cellStyle name="Note 2 56" xfId="1335" xr:uid="{00000000-0005-0000-0000-000037050000}"/>
    <cellStyle name="Note 2 57" xfId="1336" xr:uid="{00000000-0005-0000-0000-000038050000}"/>
    <cellStyle name="Note 2 58" xfId="1337" xr:uid="{00000000-0005-0000-0000-000039050000}"/>
    <cellStyle name="Note 2 59" xfId="1338" xr:uid="{00000000-0005-0000-0000-00003A050000}"/>
    <cellStyle name="Note 2 6" xfId="1339" xr:uid="{00000000-0005-0000-0000-00003B050000}"/>
    <cellStyle name="Note 2 60" xfId="1340" xr:uid="{00000000-0005-0000-0000-00003C050000}"/>
    <cellStyle name="Note 2 61" xfId="1341" xr:uid="{00000000-0005-0000-0000-00003D050000}"/>
    <cellStyle name="Note 2 62" xfId="1342" xr:uid="{00000000-0005-0000-0000-00003E050000}"/>
    <cellStyle name="Note 2 63" xfId="1343" xr:uid="{00000000-0005-0000-0000-00003F050000}"/>
    <cellStyle name="Note 2 64" xfId="1344" xr:uid="{00000000-0005-0000-0000-000040050000}"/>
    <cellStyle name="Note 2 65" xfId="1345" xr:uid="{00000000-0005-0000-0000-000041050000}"/>
    <cellStyle name="Note 2 7" xfId="1346" xr:uid="{00000000-0005-0000-0000-000042050000}"/>
    <cellStyle name="Note 2 8" xfId="1347" xr:uid="{00000000-0005-0000-0000-000043050000}"/>
    <cellStyle name="Note 2 9" xfId="1348" xr:uid="{00000000-0005-0000-0000-000044050000}"/>
    <cellStyle name="Note 3" xfId="1349" xr:uid="{00000000-0005-0000-0000-000045050000}"/>
    <cellStyle name="Note 3 10" xfId="1350" xr:uid="{00000000-0005-0000-0000-000046050000}"/>
    <cellStyle name="Note 3 11" xfId="1351" xr:uid="{00000000-0005-0000-0000-000047050000}"/>
    <cellStyle name="Note 3 12" xfId="1352" xr:uid="{00000000-0005-0000-0000-000048050000}"/>
    <cellStyle name="Note 3 13" xfId="1353" xr:uid="{00000000-0005-0000-0000-000049050000}"/>
    <cellStyle name="Note 3 14" xfId="1354" xr:uid="{00000000-0005-0000-0000-00004A050000}"/>
    <cellStyle name="Note 3 15" xfId="1355" xr:uid="{00000000-0005-0000-0000-00004B050000}"/>
    <cellStyle name="Note 3 16" xfId="1356" xr:uid="{00000000-0005-0000-0000-00004C050000}"/>
    <cellStyle name="Note 3 17" xfId="1357" xr:uid="{00000000-0005-0000-0000-00004D050000}"/>
    <cellStyle name="Note 3 18" xfId="1358" xr:uid="{00000000-0005-0000-0000-00004E050000}"/>
    <cellStyle name="Note 3 19" xfId="1359" xr:uid="{00000000-0005-0000-0000-00004F050000}"/>
    <cellStyle name="Note 3 2" xfId="1360" xr:uid="{00000000-0005-0000-0000-000050050000}"/>
    <cellStyle name="Note 3 20" xfId="1361" xr:uid="{00000000-0005-0000-0000-000051050000}"/>
    <cellStyle name="Note 3 21" xfId="1362" xr:uid="{00000000-0005-0000-0000-000052050000}"/>
    <cellStyle name="Note 3 22" xfId="1363" xr:uid="{00000000-0005-0000-0000-000053050000}"/>
    <cellStyle name="Note 3 23" xfId="1364" xr:uid="{00000000-0005-0000-0000-000054050000}"/>
    <cellStyle name="Note 3 24" xfId="1365" xr:uid="{00000000-0005-0000-0000-000055050000}"/>
    <cellStyle name="Note 3 25" xfId="1366" xr:uid="{00000000-0005-0000-0000-000056050000}"/>
    <cellStyle name="Note 3 26" xfId="1367" xr:uid="{00000000-0005-0000-0000-000057050000}"/>
    <cellStyle name="Note 3 27" xfId="1368" xr:uid="{00000000-0005-0000-0000-000058050000}"/>
    <cellStyle name="Note 3 28" xfId="1369" xr:uid="{00000000-0005-0000-0000-000059050000}"/>
    <cellStyle name="Note 3 29" xfId="1370" xr:uid="{00000000-0005-0000-0000-00005A050000}"/>
    <cellStyle name="Note 3 3" xfId="1371" xr:uid="{00000000-0005-0000-0000-00005B050000}"/>
    <cellStyle name="Note 3 30" xfId="1372" xr:uid="{00000000-0005-0000-0000-00005C050000}"/>
    <cellStyle name="Note 3 31" xfId="1373" xr:uid="{00000000-0005-0000-0000-00005D050000}"/>
    <cellStyle name="Note 3 32" xfId="1374" xr:uid="{00000000-0005-0000-0000-00005E050000}"/>
    <cellStyle name="Note 3 33" xfId="1375" xr:uid="{00000000-0005-0000-0000-00005F050000}"/>
    <cellStyle name="Note 3 34" xfId="1376" xr:uid="{00000000-0005-0000-0000-000060050000}"/>
    <cellStyle name="Note 3 35" xfId="1377" xr:uid="{00000000-0005-0000-0000-000061050000}"/>
    <cellStyle name="Note 3 36" xfId="1378" xr:uid="{00000000-0005-0000-0000-000062050000}"/>
    <cellStyle name="Note 3 37" xfId="1379" xr:uid="{00000000-0005-0000-0000-000063050000}"/>
    <cellStyle name="Note 3 38" xfId="1380" xr:uid="{00000000-0005-0000-0000-000064050000}"/>
    <cellStyle name="Note 3 39" xfId="1381" xr:uid="{00000000-0005-0000-0000-000065050000}"/>
    <cellStyle name="Note 3 4" xfId="1382" xr:uid="{00000000-0005-0000-0000-000066050000}"/>
    <cellStyle name="Note 3 40" xfId="1383" xr:uid="{00000000-0005-0000-0000-000067050000}"/>
    <cellStyle name="Note 3 41" xfId="1384" xr:uid="{00000000-0005-0000-0000-000068050000}"/>
    <cellStyle name="Note 3 42" xfId="1385" xr:uid="{00000000-0005-0000-0000-000069050000}"/>
    <cellStyle name="Note 3 43" xfId="1386" xr:uid="{00000000-0005-0000-0000-00006A050000}"/>
    <cellStyle name="Note 3 44" xfId="1387" xr:uid="{00000000-0005-0000-0000-00006B050000}"/>
    <cellStyle name="Note 3 45" xfId="1388" xr:uid="{00000000-0005-0000-0000-00006C050000}"/>
    <cellStyle name="Note 3 46" xfId="1389" xr:uid="{00000000-0005-0000-0000-00006D050000}"/>
    <cellStyle name="Note 3 47" xfId="1390" xr:uid="{00000000-0005-0000-0000-00006E050000}"/>
    <cellStyle name="Note 3 48" xfId="1391" xr:uid="{00000000-0005-0000-0000-00006F050000}"/>
    <cellStyle name="Note 3 49" xfId="1392" xr:uid="{00000000-0005-0000-0000-000070050000}"/>
    <cellStyle name="Note 3 5" xfId="1393" xr:uid="{00000000-0005-0000-0000-000071050000}"/>
    <cellStyle name="Note 3 50" xfId="1394" xr:uid="{00000000-0005-0000-0000-000072050000}"/>
    <cellStyle name="Note 3 51" xfId="1395" xr:uid="{00000000-0005-0000-0000-000073050000}"/>
    <cellStyle name="Note 3 52" xfId="1396" xr:uid="{00000000-0005-0000-0000-000074050000}"/>
    <cellStyle name="Note 3 53" xfId="1397" xr:uid="{00000000-0005-0000-0000-000075050000}"/>
    <cellStyle name="Note 3 54" xfId="1398" xr:uid="{00000000-0005-0000-0000-000076050000}"/>
    <cellStyle name="Note 3 55" xfId="1399" xr:uid="{00000000-0005-0000-0000-000077050000}"/>
    <cellStyle name="Note 3 56" xfId="1400" xr:uid="{00000000-0005-0000-0000-000078050000}"/>
    <cellStyle name="Note 3 57" xfId="1401" xr:uid="{00000000-0005-0000-0000-000079050000}"/>
    <cellStyle name="Note 3 58" xfId="1402" xr:uid="{00000000-0005-0000-0000-00007A050000}"/>
    <cellStyle name="Note 3 59" xfId="1403" xr:uid="{00000000-0005-0000-0000-00007B050000}"/>
    <cellStyle name="Note 3 6" xfId="1404" xr:uid="{00000000-0005-0000-0000-00007C050000}"/>
    <cellStyle name="Note 3 60" xfId="1405" xr:uid="{00000000-0005-0000-0000-00007D050000}"/>
    <cellStyle name="Note 3 61" xfId="1406" xr:uid="{00000000-0005-0000-0000-00007E050000}"/>
    <cellStyle name="Note 3 62" xfId="1407" xr:uid="{00000000-0005-0000-0000-00007F050000}"/>
    <cellStyle name="Note 3 63" xfId="1408" xr:uid="{00000000-0005-0000-0000-000080050000}"/>
    <cellStyle name="Note 3 64" xfId="1409" xr:uid="{00000000-0005-0000-0000-000081050000}"/>
    <cellStyle name="Note 3 65" xfId="1410" xr:uid="{00000000-0005-0000-0000-000082050000}"/>
    <cellStyle name="Note 3 7" xfId="1411" xr:uid="{00000000-0005-0000-0000-000083050000}"/>
    <cellStyle name="Note 3 8" xfId="1412" xr:uid="{00000000-0005-0000-0000-000084050000}"/>
    <cellStyle name="Note 3 9" xfId="1413" xr:uid="{00000000-0005-0000-0000-000085050000}"/>
    <cellStyle name="Note 4" xfId="1414" xr:uid="{00000000-0005-0000-0000-000086050000}"/>
    <cellStyle name="Note 4 10" xfId="1415" xr:uid="{00000000-0005-0000-0000-000087050000}"/>
    <cellStyle name="Note 4 11" xfId="1416" xr:uid="{00000000-0005-0000-0000-000088050000}"/>
    <cellStyle name="Note 4 12" xfId="1417" xr:uid="{00000000-0005-0000-0000-000089050000}"/>
    <cellStyle name="Note 4 13" xfId="1418" xr:uid="{00000000-0005-0000-0000-00008A050000}"/>
    <cellStyle name="Note 4 14" xfId="1419" xr:uid="{00000000-0005-0000-0000-00008B050000}"/>
    <cellStyle name="Note 4 15" xfId="1420" xr:uid="{00000000-0005-0000-0000-00008C050000}"/>
    <cellStyle name="Note 4 16" xfId="1421" xr:uid="{00000000-0005-0000-0000-00008D050000}"/>
    <cellStyle name="Note 4 17" xfId="1422" xr:uid="{00000000-0005-0000-0000-00008E050000}"/>
    <cellStyle name="Note 4 18" xfId="1423" xr:uid="{00000000-0005-0000-0000-00008F050000}"/>
    <cellStyle name="Note 4 19" xfId="1424" xr:uid="{00000000-0005-0000-0000-000090050000}"/>
    <cellStyle name="Note 4 2" xfId="1425" xr:uid="{00000000-0005-0000-0000-000091050000}"/>
    <cellStyle name="Note 4 20" xfId="1426" xr:uid="{00000000-0005-0000-0000-000092050000}"/>
    <cellStyle name="Note 4 21" xfId="1427" xr:uid="{00000000-0005-0000-0000-000093050000}"/>
    <cellStyle name="Note 4 22" xfId="1428" xr:uid="{00000000-0005-0000-0000-000094050000}"/>
    <cellStyle name="Note 4 23" xfId="1429" xr:uid="{00000000-0005-0000-0000-000095050000}"/>
    <cellStyle name="Note 4 24" xfId="1430" xr:uid="{00000000-0005-0000-0000-000096050000}"/>
    <cellStyle name="Note 4 25" xfId="1431" xr:uid="{00000000-0005-0000-0000-000097050000}"/>
    <cellStyle name="Note 4 26" xfId="1432" xr:uid="{00000000-0005-0000-0000-000098050000}"/>
    <cellStyle name="Note 4 27" xfId="1433" xr:uid="{00000000-0005-0000-0000-000099050000}"/>
    <cellStyle name="Note 4 28" xfId="1434" xr:uid="{00000000-0005-0000-0000-00009A050000}"/>
    <cellStyle name="Note 4 29" xfId="1435" xr:uid="{00000000-0005-0000-0000-00009B050000}"/>
    <cellStyle name="Note 4 3" xfId="1436" xr:uid="{00000000-0005-0000-0000-00009C050000}"/>
    <cellStyle name="Note 4 30" xfId="1437" xr:uid="{00000000-0005-0000-0000-00009D050000}"/>
    <cellStyle name="Note 4 31" xfId="1438" xr:uid="{00000000-0005-0000-0000-00009E050000}"/>
    <cellStyle name="Note 4 32" xfId="1439" xr:uid="{00000000-0005-0000-0000-00009F050000}"/>
    <cellStyle name="Note 4 33" xfId="1440" xr:uid="{00000000-0005-0000-0000-0000A0050000}"/>
    <cellStyle name="Note 4 34" xfId="1441" xr:uid="{00000000-0005-0000-0000-0000A1050000}"/>
    <cellStyle name="Note 4 35" xfId="1442" xr:uid="{00000000-0005-0000-0000-0000A2050000}"/>
    <cellStyle name="Note 4 36" xfId="1443" xr:uid="{00000000-0005-0000-0000-0000A3050000}"/>
    <cellStyle name="Note 4 37" xfId="1444" xr:uid="{00000000-0005-0000-0000-0000A4050000}"/>
    <cellStyle name="Note 4 38" xfId="1445" xr:uid="{00000000-0005-0000-0000-0000A5050000}"/>
    <cellStyle name="Note 4 39" xfId="1446" xr:uid="{00000000-0005-0000-0000-0000A6050000}"/>
    <cellStyle name="Note 4 4" xfId="1447" xr:uid="{00000000-0005-0000-0000-0000A7050000}"/>
    <cellStyle name="Note 4 40" xfId="1448" xr:uid="{00000000-0005-0000-0000-0000A8050000}"/>
    <cellStyle name="Note 4 41" xfId="1449" xr:uid="{00000000-0005-0000-0000-0000A9050000}"/>
    <cellStyle name="Note 4 42" xfId="1450" xr:uid="{00000000-0005-0000-0000-0000AA050000}"/>
    <cellStyle name="Note 4 43" xfId="1451" xr:uid="{00000000-0005-0000-0000-0000AB050000}"/>
    <cellStyle name="Note 4 44" xfId="1452" xr:uid="{00000000-0005-0000-0000-0000AC050000}"/>
    <cellStyle name="Note 4 45" xfId="1453" xr:uid="{00000000-0005-0000-0000-0000AD050000}"/>
    <cellStyle name="Note 4 46" xfId="1454" xr:uid="{00000000-0005-0000-0000-0000AE050000}"/>
    <cellStyle name="Note 4 47" xfId="1455" xr:uid="{00000000-0005-0000-0000-0000AF050000}"/>
    <cellStyle name="Note 4 48" xfId="1456" xr:uid="{00000000-0005-0000-0000-0000B0050000}"/>
    <cellStyle name="Note 4 49" xfId="1457" xr:uid="{00000000-0005-0000-0000-0000B1050000}"/>
    <cellStyle name="Note 4 5" xfId="1458" xr:uid="{00000000-0005-0000-0000-0000B2050000}"/>
    <cellStyle name="Note 4 50" xfId="1459" xr:uid="{00000000-0005-0000-0000-0000B3050000}"/>
    <cellStyle name="Note 4 51" xfId="1460" xr:uid="{00000000-0005-0000-0000-0000B4050000}"/>
    <cellStyle name="Note 4 52" xfId="1461" xr:uid="{00000000-0005-0000-0000-0000B5050000}"/>
    <cellStyle name="Note 4 53" xfId="1462" xr:uid="{00000000-0005-0000-0000-0000B6050000}"/>
    <cellStyle name="Note 4 54" xfId="1463" xr:uid="{00000000-0005-0000-0000-0000B7050000}"/>
    <cellStyle name="Note 4 55" xfId="1464" xr:uid="{00000000-0005-0000-0000-0000B8050000}"/>
    <cellStyle name="Note 4 56" xfId="1465" xr:uid="{00000000-0005-0000-0000-0000B9050000}"/>
    <cellStyle name="Note 4 57" xfId="1466" xr:uid="{00000000-0005-0000-0000-0000BA050000}"/>
    <cellStyle name="Note 4 58" xfId="1467" xr:uid="{00000000-0005-0000-0000-0000BB050000}"/>
    <cellStyle name="Note 4 59" xfId="1468" xr:uid="{00000000-0005-0000-0000-0000BC050000}"/>
    <cellStyle name="Note 4 6" xfId="1469" xr:uid="{00000000-0005-0000-0000-0000BD050000}"/>
    <cellStyle name="Note 4 60" xfId="1470" xr:uid="{00000000-0005-0000-0000-0000BE050000}"/>
    <cellStyle name="Note 4 61" xfId="1471" xr:uid="{00000000-0005-0000-0000-0000BF050000}"/>
    <cellStyle name="Note 4 62" xfId="1472" xr:uid="{00000000-0005-0000-0000-0000C0050000}"/>
    <cellStyle name="Note 4 63" xfId="1473" xr:uid="{00000000-0005-0000-0000-0000C1050000}"/>
    <cellStyle name="Note 4 64" xfId="1474" xr:uid="{00000000-0005-0000-0000-0000C2050000}"/>
    <cellStyle name="Note 4 65" xfId="1475" xr:uid="{00000000-0005-0000-0000-0000C3050000}"/>
    <cellStyle name="Note 4 7" xfId="1476" xr:uid="{00000000-0005-0000-0000-0000C4050000}"/>
    <cellStyle name="Note 4 8" xfId="1477" xr:uid="{00000000-0005-0000-0000-0000C5050000}"/>
    <cellStyle name="Note 4 9" xfId="1478" xr:uid="{00000000-0005-0000-0000-0000C6050000}"/>
    <cellStyle name="Note 5" xfId="1479" xr:uid="{00000000-0005-0000-0000-0000C7050000}"/>
    <cellStyle name="Note 5 10" xfId="1480" xr:uid="{00000000-0005-0000-0000-0000C8050000}"/>
    <cellStyle name="Note 5 11" xfId="1481" xr:uid="{00000000-0005-0000-0000-0000C9050000}"/>
    <cellStyle name="Note 5 12" xfId="1482" xr:uid="{00000000-0005-0000-0000-0000CA050000}"/>
    <cellStyle name="Note 5 13" xfId="1483" xr:uid="{00000000-0005-0000-0000-0000CB050000}"/>
    <cellStyle name="Note 5 14" xfId="1484" xr:uid="{00000000-0005-0000-0000-0000CC050000}"/>
    <cellStyle name="Note 5 15" xfId="1485" xr:uid="{00000000-0005-0000-0000-0000CD050000}"/>
    <cellStyle name="Note 5 16" xfId="1486" xr:uid="{00000000-0005-0000-0000-0000CE050000}"/>
    <cellStyle name="Note 5 17" xfId="1487" xr:uid="{00000000-0005-0000-0000-0000CF050000}"/>
    <cellStyle name="Note 5 18" xfId="1488" xr:uid="{00000000-0005-0000-0000-0000D0050000}"/>
    <cellStyle name="Note 5 19" xfId="1489" xr:uid="{00000000-0005-0000-0000-0000D1050000}"/>
    <cellStyle name="Note 5 2" xfId="1490" xr:uid="{00000000-0005-0000-0000-0000D2050000}"/>
    <cellStyle name="Note 5 20" xfId="1491" xr:uid="{00000000-0005-0000-0000-0000D3050000}"/>
    <cellStyle name="Note 5 21" xfId="1492" xr:uid="{00000000-0005-0000-0000-0000D4050000}"/>
    <cellStyle name="Note 5 22" xfId="1493" xr:uid="{00000000-0005-0000-0000-0000D5050000}"/>
    <cellStyle name="Note 5 23" xfId="1494" xr:uid="{00000000-0005-0000-0000-0000D6050000}"/>
    <cellStyle name="Note 5 24" xfId="1495" xr:uid="{00000000-0005-0000-0000-0000D7050000}"/>
    <cellStyle name="Note 5 25" xfId="1496" xr:uid="{00000000-0005-0000-0000-0000D8050000}"/>
    <cellStyle name="Note 5 26" xfId="1497" xr:uid="{00000000-0005-0000-0000-0000D9050000}"/>
    <cellStyle name="Note 5 27" xfId="1498" xr:uid="{00000000-0005-0000-0000-0000DA050000}"/>
    <cellStyle name="Note 5 28" xfId="1499" xr:uid="{00000000-0005-0000-0000-0000DB050000}"/>
    <cellStyle name="Note 5 29" xfId="1500" xr:uid="{00000000-0005-0000-0000-0000DC050000}"/>
    <cellStyle name="Note 5 3" xfId="1501" xr:uid="{00000000-0005-0000-0000-0000DD050000}"/>
    <cellStyle name="Note 5 30" xfId="1502" xr:uid="{00000000-0005-0000-0000-0000DE050000}"/>
    <cellStyle name="Note 5 31" xfId="1503" xr:uid="{00000000-0005-0000-0000-0000DF050000}"/>
    <cellStyle name="Note 5 32" xfId="1504" xr:uid="{00000000-0005-0000-0000-0000E0050000}"/>
    <cellStyle name="Note 5 33" xfId="1505" xr:uid="{00000000-0005-0000-0000-0000E1050000}"/>
    <cellStyle name="Note 5 34" xfId="1506" xr:uid="{00000000-0005-0000-0000-0000E2050000}"/>
    <cellStyle name="Note 5 35" xfId="1507" xr:uid="{00000000-0005-0000-0000-0000E3050000}"/>
    <cellStyle name="Note 5 36" xfId="1508" xr:uid="{00000000-0005-0000-0000-0000E4050000}"/>
    <cellStyle name="Note 5 37" xfId="1509" xr:uid="{00000000-0005-0000-0000-0000E5050000}"/>
    <cellStyle name="Note 5 38" xfId="1510" xr:uid="{00000000-0005-0000-0000-0000E6050000}"/>
    <cellStyle name="Note 5 39" xfId="1511" xr:uid="{00000000-0005-0000-0000-0000E7050000}"/>
    <cellStyle name="Note 5 4" xfId="1512" xr:uid="{00000000-0005-0000-0000-0000E8050000}"/>
    <cellStyle name="Note 5 40" xfId="1513" xr:uid="{00000000-0005-0000-0000-0000E9050000}"/>
    <cellStyle name="Note 5 41" xfId="1514" xr:uid="{00000000-0005-0000-0000-0000EA050000}"/>
    <cellStyle name="Note 5 42" xfId="1515" xr:uid="{00000000-0005-0000-0000-0000EB050000}"/>
    <cellStyle name="Note 5 43" xfId="1516" xr:uid="{00000000-0005-0000-0000-0000EC050000}"/>
    <cellStyle name="Note 5 44" xfId="1517" xr:uid="{00000000-0005-0000-0000-0000ED050000}"/>
    <cellStyle name="Note 5 45" xfId="1518" xr:uid="{00000000-0005-0000-0000-0000EE050000}"/>
    <cellStyle name="Note 5 46" xfId="1519" xr:uid="{00000000-0005-0000-0000-0000EF050000}"/>
    <cellStyle name="Note 5 47" xfId="1520" xr:uid="{00000000-0005-0000-0000-0000F0050000}"/>
    <cellStyle name="Note 5 48" xfId="1521" xr:uid="{00000000-0005-0000-0000-0000F1050000}"/>
    <cellStyle name="Note 5 49" xfId="1522" xr:uid="{00000000-0005-0000-0000-0000F2050000}"/>
    <cellStyle name="Note 5 5" xfId="1523" xr:uid="{00000000-0005-0000-0000-0000F3050000}"/>
    <cellStyle name="Note 5 50" xfId="1524" xr:uid="{00000000-0005-0000-0000-0000F4050000}"/>
    <cellStyle name="Note 5 51" xfId="1525" xr:uid="{00000000-0005-0000-0000-0000F5050000}"/>
    <cellStyle name="Note 5 52" xfId="1526" xr:uid="{00000000-0005-0000-0000-0000F6050000}"/>
    <cellStyle name="Note 5 53" xfId="1527" xr:uid="{00000000-0005-0000-0000-0000F7050000}"/>
    <cellStyle name="Note 5 54" xfId="1528" xr:uid="{00000000-0005-0000-0000-0000F8050000}"/>
    <cellStyle name="Note 5 55" xfId="1529" xr:uid="{00000000-0005-0000-0000-0000F9050000}"/>
    <cellStyle name="Note 5 56" xfId="1530" xr:uid="{00000000-0005-0000-0000-0000FA050000}"/>
    <cellStyle name="Note 5 57" xfId="1531" xr:uid="{00000000-0005-0000-0000-0000FB050000}"/>
    <cellStyle name="Note 5 58" xfId="1532" xr:uid="{00000000-0005-0000-0000-0000FC050000}"/>
    <cellStyle name="Note 5 59" xfId="1533" xr:uid="{00000000-0005-0000-0000-0000FD050000}"/>
    <cellStyle name="Note 5 6" xfId="1534" xr:uid="{00000000-0005-0000-0000-0000FE050000}"/>
    <cellStyle name="Note 5 60" xfId="1535" xr:uid="{00000000-0005-0000-0000-0000FF050000}"/>
    <cellStyle name="Note 5 61" xfId="1536" xr:uid="{00000000-0005-0000-0000-000000060000}"/>
    <cellStyle name="Note 5 62" xfId="1537" xr:uid="{00000000-0005-0000-0000-000001060000}"/>
    <cellStyle name="Note 5 63" xfId="1538" xr:uid="{00000000-0005-0000-0000-000002060000}"/>
    <cellStyle name="Note 5 64" xfId="1539" xr:uid="{00000000-0005-0000-0000-000003060000}"/>
    <cellStyle name="Note 5 65" xfId="1540" xr:uid="{00000000-0005-0000-0000-000004060000}"/>
    <cellStyle name="Note 5 7" xfId="1541" xr:uid="{00000000-0005-0000-0000-000005060000}"/>
    <cellStyle name="Note 5 8" xfId="1542" xr:uid="{00000000-0005-0000-0000-000006060000}"/>
    <cellStyle name="Note 5 9" xfId="1543" xr:uid="{00000000-0005-0000-0000-000007060000}"/>
    <cellStyle name="Note 6" xfId="1544" xr:uid="{00000000-0005-0000-0000-000008060000}"/>
    <cellStyle name="Note 6 10" xfId="1545" xr:uid="{00000000-0005-0000-0000-000009060000}"/>
    <cellStyle name="Note 6 11" xfId="1546" xr:uid="{00000000-0005-0000-0000-00000A060000}"/>
    <cellStyle name="Note 6 12" xfId="1547" xr:uid="{00000000-0005-0000-0000-00000B060000}"/>
    <cellStyle name="Note 6 13" xfId="1548" xr:uid="{00000000-0005-0000-0000-00000C060000}"/>
    <cellStyle name="Note 6 14" xfId="1549" xr:uid="{00000000-0005-0000-0000-00000D060000}"/>
    <cellStyle name="Note 6 15" xfId="1550" xr:uid="{00000000-0005-0000-0000-00000E060000}"/>
    <cellStyle name="Note 6 16" xfId="1551" xr:uid="{00000000-0005-0000-0000-00000F060000}"/>
    <cellStyle name="Note 6 17" xfId="1552" xr:uid="{00000000-0005-0000-0000-000010060000}"/>
    <cellStyle name="Note 6 18" xfId="1553" xr:uid="{00000000-0005-0000-0000-000011060000}"/>
    <cellStyle name="Note 6 19" xfId="1554" xr:uid="{00000000-0005-0000-0000-000012060000}"/>
    <cellStyle name="Note 6 2" xfId="1555" xr:uid="{00000000-0005-0000-0000-000013060000}"/>
    <cellStyle name="Note 6 20" xfId="1556" xr:uid="{00000000-0005-0000-0000-000014060000}"/>
    <cellStyle name="Note 6 21" xfId="1557" xr:uid="{00000000-0005-0000-0000-000015060000}"/>
    <cellStyle name="Note 6 22" xfId="1558" xr:uid="{00000000-0005-0000-0000-000016060000}"/>
    <cellStyle name="Note 6 23" xfId="1559" xr:uid="{00000000-0005-0000-0000-000017060000}"/>
    <cellStyle name="Note 6 24" xfId="1560" xr:uid="{00000000-0005-0000-0000-000018060000}"/>
    <cellStyle name="Note 6 25" xfId="1561" xr:uid="{00000000-0005-0000-0000-000019060000}"/>
    <cellStyle name="Note 6 26" xfId="1562" xr:uid="{00000000-0005-0000-0000-00001A060000}"/>
    <cellStyle name="Note 6 27" xfId="1563" xr:uid="{00000000-0005-0000-0000-00001B060000}"/>
    <cellStyle name="Note 6 28" xfId="1564" xr:uid="{00000000-0005-0000-0000-00001C060000}"/>
    <cellStyle name="Note 6 29" xfId="1565" xr:uid="{00000000-0005-0000-0000-00001D060000}"/>
    <cellStyle name="Note 6 3" xfId="1566" xr:uid="{00000000-0005-0000-0000-00001E060000}"/>
    <cellStyle name="Note 6 30" xfId="1567" xr:uid="{00000000-0005-0000-0000-00001F060000}"/>
    <cellStyle name="Note 6 31" xfId="1568" xr:uid="{00000000-0005-0000-0000-000020060000}"/>
    <cellStyle name="Note 6 32" xfId="1569" xr:uid="{00000000-0005-0000-0000-000021060000}"/>
    <cellStyle name="Note 6 33" xfId="1570" xr:uid="{00000000-0005-0000-0000-000022060000}"/>
    <cellStyle name="Note 6 34" xfId="1571" xr:uid="{00000000-0005-0000-0000-000023060000}"/>
    <cellStyle name="Note 6 35" xfId="1572" xr:uid="{00000000-0005-0000-0000-000024060000}"/>
    <cellStyle name="Note 6 36" xfId="1573" xr:uid="{00000000-0005-0000-0000-000025060000}"/>
    <cellStyle name="Note 6 37" xfId="1574" xr:uid="{00000000-0005-0000-0000-000026060000}"/>
    <cellStyle name="Note 6 38" xfId="1575" xr:uid="{00000000-0005-0000-0000-000027060000}"/>
    <cellStyle name="Note 6 39" xfId="1576" xr:uid="{00000000-0005-0000-0000-000028060000}"/>
    <cellStyle name="Note 6 4" xfId="1577" xr:uid="{00000000-0005-0000-0000-000029060000}"/>
    <cellStyle name="Note 6 40" xfId="1578" xr:uid="{00000000-0005-0000-0000-00002A060000}"/>
    <cellStyle name="Note 6 41" xfId="1579" xr:uid="{00000000-0005-0000-0000-00002B060000}"/>
    <cellStyle name="Note 6 42" xfId="1580" xr:uid="{00000000-0005-0000-0000-00002C060000}"/>
    <cellStyle name="Note 6 43" xfId="1581" xr:uid="{00000000-0005-0000-0000-00002D060000}"/>
    <cellStyle name="Note 6 44" xfId="1582" xr:uid="{00000000-0005-0000-0000-00002E060000}"/>
    <cellStyle name="Note 6 45" xfId="1583" xr:uid="{00000000-0005-0000-0000-00002F060000}"/>
    <cellStyle name="Note 6 46" xfId="1584" xr:uid="{00000000-0005-0000-0000-000030060000}"/>
    <cellStyle name="Note 6 47" xfId="1585" xr:uid="{00000000-0005-0000-0000-000031060000}"/>
    <cellStyle name="Note 6 48" xfId="1586" xr:uid="{00000000-0005-0000-0000-000032060000}"/>
    <cellStyle name="Note 6 49" xfId="1587" xr:uid="{00000000-0005-0000-0000-000033060000}"/>
    <cellStyle name="Note 6 5" xfId="1588" xr:uid="{00000000-0005-0000-0000-000034060000}"/>
    <cellStyle name="Note 6 50" xfId="1589" xr:uid="{00000000-0005-0000-0000-000035060000}"/>
    <cellStyle name="Note 6 51" xfId="1590" xr:uid="{00000000-0005-0000-0000-000036060000}"/>
    <cellStyle name="Note 6 52" xfId="1591" xr:uid="{00000000-0005-0000-0000-000037060000}"/>
    <cellStyle name="Note 6 53" xfId="1592" xr:uid="{00000000-0005-0000-0000-000038060000}"/>
    <cellStyle name="Note 6 54" xfId="1593" xr:uid="{00000000-0005-0000-0000-000039060000}"/>
    <cellStyle name="Note 6 55" xfId="1594" xr:uid="{00000000-0005-0000-0000-00003A060000}"/>
    <cellStyle name="Note 6 56" xfId="1595" xr:uid="{00000000-0005-0000-0000-00003B060000}"/>
    <cellStyle name="Note 6 57" xfId="1596" xr:uid="{00000000-0005-0000-0000-00003C060000}"/>
    <cellStyle name="Note 6 58" xfId="1597" xr:uid="{00000000-0005-0000-0000-00003D060000}"/>
    <cellStyle name="Note 6 59" xfId="1598" xr:uid="{00000000-0005-0000-0000-00003E060000}"/>
    <cellStyle name="Note 6 6" xfId="1599" xr:uid="{00000000-0005-0000-0000-00003F060000}"/>
    <cellStyle name="Note 6 60" xfId="1600" xr:uid="{00000000-0005-0000-0000-000040060000}"/>
    <cellStyle name="Note 6 61" xfId="1601" xr:uid="{00000000-0005-0000-0000-000041060000}"/>
    <cellStyle name="Note 6 62" xfId="1602" xr:uid="{00000000-0005-0000-0000-000042060000}"/>
    <cellStyle name="Note 6 63" xfId="1603" xr:uid="{00000000-0005-0000-0000-000043060000}"/>
    <cellStyle name="Note 6 64" xfId="1604" xr:uid="{00000000-0005-0000-0000-000044060000}"/>
    <cellStyle name="Note 6 65" xfId="1605" xr:uid="{00000000-0005-0000-0000-000045060000}"/>
    <cellStyle name="Note 6 7" xfId="1606" xr:uid="{00000000-0005-0000-0000-000046060000}"/>
    <cellStyle name="Note 6 8" xfId="1607" xr:uid="{00000000-0005-0000-0000-000047060000}"/>
    <cellStyle name="Note 6 9" xfId="1608" xr:uid="{00000000-0005-0000-0000-000048060000}"/>
    <cellStyle name="Note 7" xfId="1609" xr:uid="{00000000-0005-0000-0000-000049060000}"/>
    <cellStyle name="Note 7 10" xfId="1610" xr:uid="{00000000-0005-0000-0000-00004A060000}"/>
    <cellStyle name="Note 7 11" xfId="1611" xr:uid="{00000000-0005-0000-0000-00004B060000}"/>
    <cellStyle name="Note 7 12" xfId="1612" xr:uid="{00000000-0005-0000-0000-00004C060000}"/>
    <cellStyle name="Note 7 13" xfId="1613" xr:uid="{00000000-0005-0000-0000-00004D060000}"/>
    <cellStyle name="Note 7 14" xfId="1614" xr:uid="{00000000-0005-0000-0000-00004E060000}"/>
    <cellStyle name="Note 7 15" xfId="1615" xr:uid="{00000000-0005-0000-0000-00004F060000}"/>
    <cellStyle name="Note 7 16" xfId="1616" xr:uid="{00000000-0005-0000-0000-000050060000}"/>
    <cellStyle name="Note 7 17" xfId="1617" xr:uid="{00000000-0005-0000-0000-000051060000}"/>
    <cellStyle name="Note 7 18" xfId="1618" xr:uid="{00000000-0005-0000-0000-000052060000}"/>
    <cellStyle name="Note 7 19" xfId="1619" xr:uid="{00000000-0005-0000-0000-000053060000}"/>
    <cellStyle name="Note 7 2" xfId="1620" xr:uid="{00000000-0005-0000-0000-000054060000}"/>
    <cellStyle name="Note 7 20" xfId="1621" xr:uid="{00000000-0005-0000-0000-000055060000}"/>
    <cellStyle name="Note 7 21" xfId="1622" xr:uid="{00000000-0005-0000-0000-000056060000}"/>
    <cellStyle name="Note 7 22" xfId="1623" xr:uid="{00000000-0005-0000-0000-000057060000}"/>
    <cellStyle name="Note 7 23" xfId="1624" xr:uid="{00000000-0005-0000-0000-000058060000}"/>
    <cellStyle name="Note 7 24" xfId="1625" xr:uid="{00000000-0005-0000-0000-000059060000}"/>
    <cellStyle name="Note 7 25" xfId="1626" xr:uid="{00000000-0005-0000-0000-00005A060000}"/>
    <cellStyle name="Note 7 26" xfId="1627" xr:uid="{00000000-0005-0000-0000-00005B060000}"/>
    <cellStyle name="Note 7 27" xfId="1628" xr:uid="{00000000-0005-0000-0000-00005C060000}"/>
    <cellStyle name="Note 7 28" xfId="1629" xr:uid="{00000000-0005-0000-0000-00005D060000}"/>
    <cellStyle name="Note 7 29" xfId="1630" xr:uid="{00000000-0005-0000-0000-00005E060000}"/>
    <cellStyle name="Note 7 3" xfId="1631" xr:uid="{00000000-0005-0000-0000-00005F060000}"/>
    <cellStyle name="Note 7 30" xfId="1632" xr:uid="{00000000-0005-0000-0000-000060060000}"/>
    <cellStyle name="Note 7 31" xfId="1633" xr:uid="{00000000-0005-0000-0000-000061060000}"/>
    <cellStyle name="Note 7 32" xfId="1634" xr:uid="{00000000-0005-0000-0000-000062060000}"/>
    <cellStyle name="Note 7 33" xfId="1635" xr:uid="{00000000-0005-0000-0000-000063060000}"/>
    <cellStyle name="Note 7 34" xfId="1636" xr:uid="{00000000-0005-0000-0000-000064060000}"/>
    <cellStyle name="Note 7 35" xfId="1637" xr:uid="{00000000-0005-0000-0000-000065060000}"/>
    <cellStyle name="Note 7 36" xfId="1638" xr:uid="{00000000-0005-0000-0000-000066060000}"/>
    <cellStyle name="Note 7 37" xfId="1639" xr:uid="{00000000-0005-0000-0000-000067060000}"/>
    <cellStyle name="Note 7 38" xfId="1640" xr:uid="{00000000-0005-0000-0000-000068060000}"/>
    <cellStyle name="Note 7 39" xfId="1641" xr:uid="{00000000-0005-0000-0000-000069060000}"/>
    <cellStyle name="Note 7 4" xfId="1642" xr:uid="{00000000-0005-0000-0000-00006A060000}"/>
    <cellStyle name="Note 7 40" xfId="1643" xr:uid="{00000000-0005-0000-0000-00006B060000}"/>
    <cellStyle name="Note 7 41" xfId="1644" xr:uid="{00000000-0005-0000-0000-00006C060000}"/>
    <cellStyle name="Note 7 42" xfId="1645" xr:uid="{00000000-0005-0000-0000-00006D060000}"/>
    <cellStyle name="Note 7 43" xfId="1646" xr:uid="{00000000-0005-0000-0000-00006E060000}"/>
    <cellStyle name="Note 7 44" xfId="1647" xr:uid="{00000000-0005-0000-0000-00006F060000}"/>
    <cellStyle name="Note 7 45" xfId="1648" xr:uid="{00000000-0005-0000-0000-000070060000}"/>
    <cellStyle name="Note 7 46" xfId="1649" xr:uid="{00000000-0005-0000-0000-000071060000}"/>
    <cellStyle name="Note 7 47" xfId="1650" xr:uid="{00000000-0005-0000-0000-000072060000}"/>
    <cellStyle name="Note 7 48" xfId="1651" xr:uid="{00000000-0005-0000-0000-000073060000}"/>
    <cellStyle name="Note 7 49" xfId="1652" xr:uid="{00000000-0005-0000-0000-000074060000}"/>
    <cellStyle name="Note 7 5" xfId="1653" xr:uid="{00000000-0005-0000-0000-000075060000}"/>
    <cellStyle name="Note 7 50" xfId="1654" xr:uid="{00000000-0005-0000-0000-000076060000}"/>
    <cellStyle name="Note 7 51" xfId="1655" xr:uid="{00000000-0005-0000-0000-000077060000}"/>
    <cellStyle name="Note 7 52" xfId="1656" xr:uid="{00000000-0005-0000-0000-000078060000}"/>
    <cellStyle name="Note 7 53" xfId="1657" xr:uid="{00000000-0005-0000-0000-000079060000}"/>
    <cellStyle name="Note 7 54" xfId="1658" xr:uid="{00000000-0005-0000-0000-00007A060000}"/>
    <cellStyle name="Note 7 55" xfId="1659" xr:uid="{00000000-0005-0000-0000-00007B060000}"/>
    <cellStyle name="Note 7 56" xfId="1660" xr:uid="{00000000-0005-0000-0000-00007C060000}"/>
    <cellStyle name="Note 7 57" xfId="1661" xr:uid="{00000000-0005-0000-0000-00007D060000}"/>
    <cellStyle name="Note 7 58" xfId="1662" xr:uid="{00000000-0005-0000-0000-00007E060000}"/>
    <cellStyle name="Note 7 59" xfId="1663" xr:uid="{00000000-0005-0000-0000-00007F060000}"/>
    <cellStyle name="Note 7 6" xfId="1664" xr:uid="{00000000-0005-0000-0000-000080060000}"/>
    <cellStyle name="Note 7 60" xfId="1665" xr:uid="{00000000-0005-0000-0000-000081060000}"/>
    <cellStyle name="Note 7 61" xfId="1666" xr:uid="{00000000-0005-0000-0000-000082060000}"/>
    <cellStyle name="Note 7 62" xfId="1667" xr:uid="{00000000-0005-0000-0000-000083060000}"/>
    <cellStyle name="Note 7 63" xfId="1668" xr:uid="{00000000-0005-0000-0000-000084060000}"/>
    <cellStyle name="Note 7 64" xfId="1669" xr:uid="{00000000-0005-0000-0000-000085060000}"/>
    <cellStyle name="Note 7 65" xfId="1670" xr:uid="{00000000-0005-0000-0000-000086060000}"/>
    <cellStyle name="Note 7 7" xfId="1671" xr:uid="{00000000-0005-0000-0000-000087060000}"/>
    <cellStyle name="Note 7 8" xfId="1672" xr:uid="{00000000-0005-0000-0000-000088060000}"/>
    <cellStyle name="Note 7 9" xfId="1673" xr:uid="{00000000-0005-0000-0000-000089060000}"/>
    <cellStyle name="Note 8" xfId="1674" xr:uid="{00000000-0005-0000-0000-00008A060000}"/>
    <cellStyle name="Note 8 10" xfId="1675" xr:uid="{00000000-0005-0000-0000-00008B060000}"/>
    <cellStyle name="Note 8 11" xfId="1676" xr:uid="{00000000-0005-0000-0000-00008C060000}"/>
    <cellStyle name="Note 8 12" xfId="1677" xr:uid="{00000000-0005-0000-0000-00008D060000}"/>
    <cellStyle name="Note 8 13" xfId="1678" xr:uid="{00000000-0005-0000-0000-00008E060000}"/>
    <cellStyle name="Note 8 14" xfId="1679" xr:uid="{00000000-0005-0000-0000-00008F060000}"/>
    <cellStyle name="Note 8 15" xfId="1680" xr:uid="{00000000-0005-0000-0000-000090060000}"/>
    <cellStyle name="Note 8 16" xfId="1681" xr:uid="{00000000-0005-0000-0000-000091060000}"/>
    <cellStyle name="Note 8 17" xfId="1682" xr:uid="{00000000-0005-0000-0000-000092060000}"/>
    <cellStyle name="Note 8 18" xfId="1683" xr:uid="{00000000-0005-0000-0000-000093060000}"/>
    <cellStyle name="Note 8 19" xfId="1684" xr:uid="{00000000-0005-0000-0000-000094060000}"/>
    <cellStyle name="Note 8 2" xfId="1685" xr:uid="{00000000-0005-0000-0000-000095060000}"/>
    <cellStyle name="Note 8 20" xfId="1686" xr:uid="{00000000-0005-0000-0000-000096060000}"/>
    <cellStyle name="Note 8 21" xfId="1687" xr:uid="{00000000-0005-0000-0000-000097060000}"/>
    <cellStyle name="Note 8 22" xfId="1688" xr:uid="{00000000-0005-0000-0000-000098060000}"/>
    <cellStyle name="Note 8 23" xfId="1689" xr:uid="{00000000-0005-0000-0000-000099060000}"/>
    <cellStyle name="Note 8 24" xfId="1690" xr:uid="{00000000-0005-0000-0000-00009A060000}"/>
    <cellStyle name="Note 8 25" xfId="1691" xr:uid="{00000000-0005-0000-0000-00009B060000}"/>
    <cellStyle name="Note 8 26" xfId="1692" xr:uid="{00000000-0005-0000-0000-00009C060000}"/>
    <cellStyle name="Note 8 27" xfId="1693" xr:uid="{00000000-0005-0000-0000-00009D060000}"/>
    <cellStyle name="Note 8 28" xfId="1694" xr:uid="{00000000-0005-0000-0000-00009E060000}"/>
    <cellStyle name="Note 8 29" xfId="1695" xr:uid="{00000000-0005-0000-0000-00009F060000}"/>
    <cellStyle name="Note 8 3" xfId="1696" xr:uid="{00000000-0005-0000-0000-0000A0060000}"/>
    <cellStyle name="Note 8 30" xfId="1697" xr:uid="{00000000-0005-0000-0000-0000A1060000}"/>
    <cellStyle name="Note 8 31" xfId="1698" xr:uid="{00000000-0005-0000-0000-0000A2060000}"/>
    <cellStyle name="Note 8 32" xfId="1699" xr:uid="{00000000-0005-0000-0000-0000A3060000}"/>
    <cellStyle name="Note 8 33" xfId="1700" xr:uid="{00000000-0005-0000-0000-0000A4060000}"/>
    <cellStyle name="Note 8 34" xfId="1701" xr:uid="{00000000-0005-0000-0000-0000A5060000}"/>
    <cellStyle name="Note 8 35" xfId="1702" xr:uid="{00000000-0005-0000-0000-0000A6060000}"/>
    <cellStyle name="Note 8 36" xfId="1703" xr:uid="{00000000-0005-0000-0000-0000A7060000}"/>
    <cellStyle name="Note 8 37" xfId="1704" xr:uid="{00000000-0005-0000-0000-0000A8060000}"/>
    <cellStyle name="Note 8 38" xfId="1705" xr:uid="{00000000-0005-0000-0000-0000A9060000}"/>
    <cellStyle name="Note 8 39" xfId="1706" xr:uid="{00000000-0005-0000-0000-0000AA060000}"/>
    <cellStyle name="Note 8 4" xfId="1707" xr:uid="{00000000-0005-0000-0000-0000AB060000}"/>
    <cellStyle name="Note 8 40" xfId="1708" xr:uid="{00000000-0005-0000-0000-0000AC060000}"/>
    <cellStyle name="Note 8 41" xfId="1709" xr:uid="{00000000-0005-0000-0000-0000AD060000}"/>
    <cellStyle name="Note 8 42" xfId="1710" xr:uid="{00000000-0005-0000-0000-0000AE060000}"/>
    <cellStyle name="Note 8 43" xfId="1711" xr:uid="{00000000-0005-0000-0000-0000AF060000}"/>
    <cellStyle name="Note 8 44" xfId="1712" xr:uid="{00000000-0005-0000-0000-0000B0060000}"/>
    <cellStyle name="Note 8 45" xfId="1713" xr:uid="{00000000-0005-0000-0000-0000B1060000}"/>
    <cellStyle name="Note 8 46" xfId="1714" xr:uid="{00000000-0005-0000-0000-0000B2060000}"/>
    <cellStyle name="Note 8 47" xfId="1715" xr:uid="{00000000-0005-0000-0000-0000B3060000}"/>
    <cellStyle name="Note 8 48" xfId="1716" xr:uid="{00000000-0005-0000-0000-0000B4060000}"/>
    <cellStyle name="Note 8 49" xfId="1717" xr:uid="{00000000-0005-0000-0000-0000B5060000}"/>
    <cellStyle name="Note 8 5" xfId="1718" xr:uid="{00000000-0005-0000-0000-0000B6060000}"/>
    <cellStyle name="Note 8 50" xfId="1719" xr:uid="{00000000-0005-0000-0000-0000B7060000}"/>
    <cellStyle name="Note 8 51" xfId="1720" xr:uid="{00000000-0005-0000-0000-0000B8060000}"/>
    <cellStyle name="Note 8 52" xfId="1721" xr:uid="{00000000-0005-0000-0000-0000B9060000}"/>
    <cellStyle name="Note 8 53" xfId="1722" xr:uid="{00000000-0005-0000-0000-0000BA060000}"/>
    <cellStyle name="Note 8 54" xfId="1723" xr:uid="{00000000-0005-0000-0000-0000BB060000}"/>
    <cellStyle name="Note 8 55" xfId="1724" xr:uid="{00000000-0005-0000-0000-0000BC060000}"/>
    <cellStyle name="Note 8 56" xfId="1725" xr:uid="{00000000-0005-0000-0000-0000BD060000}"/>
    <cellStyle name="Note 8 57" xfId="1726" xr:uid="{00000000-0005-0000-0000-0000BE060000}"/>
    <cellStyle name="Note 8 58" xfId="1727" xr:uid="{00000000-0005-0000-0000-0000BF060000}"/>
    <cellStyle name="Note 8 59" xfId="1728" xr:uid="{00000000-0005-0000-0000-0000C0060000}"/>
    <cellStyle name="Note 8 6" xfId="1729" xr:uid="{00000000-0005-0000-0000-0000C1060000}"/>
    <cellStyle name="Note 8 60" xfId="1730" xr:uid="{00000000-0005-0000-0000-0000C2060000}"/>
    <cellStyle name="Note 8 61" xfId="1731" xr:uid="{00000000-0005-0000-0000-0000C3060000}"/>
    <cellStyle name="Note 8 62" xfId="1732" xr:uid="{00000000-0005-0000-0000-0000C4060000}"/>
    <cellStyle name="Note 8 63" xfId="1733" xr:uid="{00000000-0005-0000-0000-0000C5060000}"/>
    <cellStyle name="Note 8 64" xfId="1734" xr:uid="{00000000-0005-0000-0000-0000C6060000}"/>
    <cellStyle name="Note 8 65" xfId="1735" xr:uid="{00000000-0005-0000-0000-0000C7060000}"/>
    <cellStyle name="Note 8 7" xfId="1736" xr:uid="{00000000-0005-0000-0000-0000C8060000}"/>
    <cellStyle name="Note 8 8" xfId="1737" xr:uid="{00000000-0005-0000-0000-0000C9060000}"/>
    <cellStyle name="Note 8 9" xfId="1738" xr:uid="{00000000-0005-0000-0000-0000CA060000}"/>
    <cellStyle name="Note 9" xfId="1739" xr:uid="{00000000-0005-0000-0000-0000CB060000}"/>
    <cellStyle name="Note 9 10" xfId="1740" xr:uid="{00000000-0005-0000-0000-0000CC060000}"/>
    <cellStyle name="Note 9 11" xfId="1741" xr:uid="{00000000-0005-0000-0000-0000CD060000}"/>
    <cellStyle name="Note 9 12" xfId="1742" xr:uid="{00000000-0005-0000-0000-0000CE060000}"/>
    <cellStyle name="Note 9 13" xfId="1743" xr:uid="{00000000-0005-0000-0000-0000CF060000}"/>
    <cellStyle name="Note 9 14" xfId="1744" xr:uid="{00000000-0005-0000-0000-0000D0060000}"/>
    <cellStyle name="Note 9 15" xfId="1745" xr:uid="{00000000-0005-0000-0000-0000D1060000}"/>
    <cellStyle name="Note 9 16" xfId="1746" xr:uid="{00000000-0005-0000-0000-0000D2060000}"/>
    <cellStyle name="Note 9 17" xfId="1747" xr:uid="{00000000-0005-0000-0000-0000D3060000}"/>
    <cellStyle name="Note 9 18" xfId="1748" xr:uid="{00000000-0005-0000-0000-0000D4060000}"/>
    <cellStyle name="Note 9 19" xfId="1749" xr:uid="{00000000-0005-0000-0000-0000D5060000}"/>
    <cellStyle name="Note 9 2" xfId="1750" xr:uid="{00000000-0005-0000-0000-0000D6060000}"/>
    <cellStyle name="Note 9 20" xfId="1751" xr:uid="{00000000-0005-0000-0000-0000D7060000}"/>
    <cellStyle name="Note 9 21" xfId="1752" xr:uid="{00000000-0005-0000-0000-0000D8060000}"/>
    <cellStyle name="Note 9 22" xfId="1753" xr:uid="{00000000-0005-0000-0000-0000D9060000}"/>
    <cellStyle name="Note 9 23" xfId="1754" xr:uid="{00000000-0005-0000-0000-0000DA060000}"/>
    <cellStyle name="Note 9 24" xfId="1755" xr:uid="{00000000-0005-0000-0000-0000DB060000}"/>
    <cellStyle name="Note 9 25" xfId="1756" xr:uid="{00000000-0005-0000-0000-0000DC060000}"/>
    <cellStyle name="Note 9 26" xfId="1757" xr:uid="{00000000-0005-0000-0000-0000DD060000}"/>
    <cellStyle name="Note 9 27" xfId="1758" xr:uid="{00000000-0005-0000-0000-0000DE060000}"/>
    <cellStyle name="Note 9 28" xfId="1759" xr:uid="{00000000-0005-0000-0000-0000DF060000}"/>
    <cellStyle name="Note 9 29" xfId="1760" xr:uid="{00000000-0005-0000-0000-0000E0060000}"/>
    <cellStyle name="Note 9 3" xfId="1761" xr:uid="{00000000-0005-0000-0000-0000E1060000}"/>
    <cellStyle name="Note 9 30" xfId="1762" xr:uid="{00000000-0005-0000-0000-0000E2060000}"/>
    <cellStyle name="Note 9 31" xfId="1763" xr:uid="{00000000-0005-0000-0000-0000E3060000}"/>
    <cellStyle name="Note 9 32" xfId="1764" xr:uid="{00000000-0005-0000-0000-0000E4060000}"/>
    <cellStyle name="Note 9 33" xfId="1765" xr:uid="{00000000-0005-0000-0000-0000E5060000}"/>
    <cellStyle name="Note 9 34" xfId="1766" xr:uid="{00000000-0005-0000-0000-0000E6060000}"/>
    <cellStyle name="Note 9 35" xfId="1767" xr:uid="{00000000-0005-0000-0000-0000E7060000}"/>
    <cellStyle name="Note 9 36" xfId="1768" xr:uid="{00000000-0005-0000-0000-0000E8060000}"/>
    <cellStyle name="Note 9 37" xfId="1769" xr:uid="{00000000-0005-0000-0000-0000E9060000}"/>
    <cellStyle name="Note 9 38" xfId="1770" xr:uid="{00000000-0005-0000-0000-0000EA060000}"/>
    <cellStyle name="Note 9 39" xfId="1771" xr:uid="{00000000-0005-0000-0000-0000EB060000}"/>
    <cellStyle name="Note 9 4" xfId="1772" xr:uid="{00000000-0005-0000-0000-0000EC060000}"/>
    <cellStyle name="Note 9 40" xfId="1773" xr:uid="{00000000-0005-0000-0000-0000ED060000}"/>
    <cellStyle name="Note 9 41" xfId="1774" xr:uid="{00000000-0005-0000-0000-0000EE060000}"/>
    <cellStyle name="Note 9 42" xfId="1775" xr:uid="{00000000-0005-0000-0000-0000EF060000}"/>
    <cellStyle name="Note 9 43" xfId="1776" xr:uid="{00000000-0005-0000-0000-0000F0060000}"/>
    <cellStyle name="Note 9 44" xfId="1777" xr:uid="{00000000-0005-0000-0000-0000F1060000}"/>
    <cellStyle name="Note 9 45" xfId="1778" xr:uid="{00000000-0005-0000-0000-0000F2060000}"/>
    <cellStyle name="Note 9 46" xfId="1779" xr:uid="{00000000-0005-0000-0000-0000F3060000}"/>
    <cellStyle name="Note 9 47" xfId="1780" xr:uid="{00000000-0005-0000-0000-0000F4060000}"/>
    <cellStyle name="Note 9 48" xfId="1781" xr:uid="{00000000-0005-0000-0000-0000F5060000}"/>
    <cellStyle name="Note 9 49" xfId="1782" xr:uid="{00000000-0005-0000-0000-0000F6060000}"/>
    <cellStyle name="Note 9 5" xfId="1783" xr:uid="{00000000-0005-0000-0000-0000F7060000}"/>
    <cellStyle name="Note 9 50" xfId="1784" xr:uid="{00000000-0005-0000-0000-0000F8060000}"/>
    <cellStyle name="Note 9 51" xfId="1785" xr:uid="{00000000-0005-0000-0000-0000F9060000}"/>
    <cellStyle name="Note 9 52" xfId="1786" xr:uid="{00000000-0005-0000-0000-0000FA060000}"/>
    <cellStyle name="Note 9 53" xfId="1787" xr:uid="{00000000-0005-0000-0000-0000FB060000}"/>
    <cellStyle name="Note 9 54" xfId="1788" xr:uid="{00000000-0005-0000-0000-0000FC060000}"/>
    <cellStyle name="Note 9 55" xfId="1789" xr:uid="{00000000-0005-0000-0000-0000FD060000}"/>
    <cellStyle name="Note 9 56" xfId="1790" xr:uid="{00000000-0005-0000-0000-0000FE060000}"/>
    <cellStyle name="Note 9 57" xfId="1791" xr:uid="{00000000-0005-0000-0000-0000FF060000}"/>
    <cellStyle name="Note 9 58" xfId="1792" xr:uid="{00000000-0005-0000-0000-000000070000}"/>
    <cellStyle name="Note 9 59" xfId="1793" xr:uid="{00000000-0005-0000-0000-000001070000}"/>
    <cellStyle name="Note 9 6" xfId="1794" xr:uid="{00000000-0005-0000-0000-000002070000}"/>
    <cellStyle name="Note 9 60" xfId="1795" xr:uid="{00000000-0005-0000-0000-000003070000}"/>
    <cellStyle name="Note 9 61" xfId="1796" xr:uid="{00000000-0005-0000-0000-000004070000}"/>
    <cellStyle name="Note 9 62" xfId="1797" xr:uid="{00000000-0005-0000-0000-000005070000}"/>
    <cellStyle name="Note 9 63" xfId="1798" xr:uid="{00000000-0005-0000-0000-000006070000}"/>
    <cellStyle name="Note 9 64" xfId="1799" xr:uid="{00000000-0005-0000-0000-000007070000}"/>
    <cellStyle name="Note 9 65" xfId="1800" xr:uid="{00000000-0005-0000-0000-000008070000}"/>
    <cellStyle name="Note 9 7" xfId="1801" xr:uid="{00000000-0005-0000-0000-000009070000}"/>
    <cellStyle name="Note 9 8" xfId="1802" xr:uid="{00000000-0005-0000-0000-00000A070000}"/>
    <cellStyle name="Note 9 9" xfId="1803" xr:uid="{00000000-0005-0000-0000-00000B070000}"/>
    <cellStyle name="prozent+" xfId="1804" xr:uid="{00000000-0005-0000-0000-00000C070000}"/>
    <cellStyle name="Prüfung" xfId="1805" xr:uid="{00000000-0005-0000-0000-00000D070000}"/>
    <cellStyle name="Prüfung 10" xfId="1806" xr:uid="{00000000-0005-0000-0000-00000E070000}"/>
    <cellStyle name="Prüfung 11" xfId="1807" xr:uid="{00000000-0005-0000-0000-00000F070000}"/>
    <cellStyle name="Prüfung 12" xfId="1808" xr:uid="{00000000-0005-0000-0000-000010070000}"/>
    <cellStyle name="Prüfung 13" xfId="1809" xr:uid="{00000000-0005-0000-0000-000011070000}"/>
    <cellStyle name="Prüfung 14" xfId="1810" xr:uid="{00000000-0005-0000-0000-000012070000}"/>
    <cellStyle name="Prüfung 2" xfId="1811" xr:uid="{00000000-0005-0000-0000-000013070000}"/>
    <cellStyle name="Prüfung 3" xfId="1812" xr:uid="{00000000-0005-0000-0000-000014070000}"/>
    <cellStyle name="Prüfung 4" xfId="1813" xr:uid="{00000000-0005-0000-0000-000015070000}"/>
    <cellStyle name="Prüfung 5" xfId="1814" xr:uid="{00000000-0005-0000-0000-000016070000}"/>
    <cellStyle name="Prüfung 6" xfId="1815" xr:uid="{00000000-0005-0000-0000-000017070000}"/>
    <cellStyle name="Prüfung 7" xfId="1816" xr:uid="{00000000-0005-0000-0000-000018070000}"/>
    <cellStyle name="Prüfung 8" xfId="1817" xr:uid="{00000000-0005-0000-0000-000019070000}"/>
    <cellStyle name="Prüfung 9" xfId="1818" xr:uid="{00000000-0005-0000-0000-00001A070000}"/>
    <cellStyle name="Prüfung_100114_ReCiPe_endpoint_orginalversion-Sander" xfId="1819" xr:uid="{00000000-0005-0000-0000-00001B070000}"/>
    <cellStyle name="Standard_03_EI'99-v1.1" xfId="1820" xr:uid="{00000000-0005-0000-0000-00001C070000}"/>
    <cellStyle name="text" xfId="1821" xr:uid="{00000000-0005-0000-0000-00001D070000}"/>
    <cellStyle name="text 2" xfId="1822" xr:uid="{00000000-0005-0000-0000-00001E070000}"/>
    <cellStyle name="text 3" xfId="1823" xr:uid="{00000000-0005-0000-0000-00001F070000}"/>
    <cellStyle name="text_CED-XML-v0.6" xfId="1824" xr:uid="{00000000-0005-0000-0000-000020070000}"/>
    <cellStyle name="Text-Manual" xfId="1825" xr:uid="{00000000-0005-0000-0000-000021070000}"/>
    <cellStyle name="unit" xfId="1826" xr:uid="{00000000-0005-0000-0000-000022070000}"/>
    <cellStyle name="Wasser" xfId="1827" xr:uid="{00000000-0005-0000-0000-000023070000}"/>
    <cellStyle name="Wasseremission" xfId="1828" xr:uid="{00000000-0005-0000-0000-000024070000}"/>
    <cellStyle name="wissenschaft" xfId="1829" xr:uid="{00000000-0005-0000-0000-000025070000}"/>
    <cellStyle name="wissenschaft+" xfId="1830" xr:uid="{00000000-0005-0000-0000-000026070000}"/>
    <cellStyle name="wissenschaft-Eingabe" xfId="1831" xr:uid="{00000000-0005-0000-0000-000027070000}"/>
    <cellStyle name="wissenschaft-Eingabe 2" xfId="1832" xr:uid="{00000000-0005-0000-0000-000028070000}"/>
    <cellStyle name="wissenschaft-Eingabe_100211_Usetox_v0.5" xfId="1833" xr:uid="{00000000-0005-0000-0000-000029070000}"/>
    <cellStyle name="zkh" xfId="1834" xr:uid="{00000000-0005-0000-0000-00002A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D_CHP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"/>
      <sheetName val="Parameters"/>
      <sheetName val="Waste_characteristics"/>
      <sheetName val="AD_a_end"/>
      <sheetName val="AD_a_mid"/>
      <sheetName val="impact_process_mid"/>
      <sheetName val="impact_process_end"/>
    </sheetNames>
    <sheetDataSet>
      <sheetData sheetId="0"/>
      <sheetData sheetId="1"/>
      <sheetData sheetId="2"/>
      <sheetData sheetId="3">
        <row r="21">
          <cell r="C21">
            <v>1.2563005899482752E-8</v>
          </cell>
          <cell r="D21">
            <v>7.508434002465424E-12</v>
          </cell>
          <cell r="E21">
            <v>2.7491055024070358E-7</v>
          </cell>
          <cell r="F21">
            <v>3.2127854164427263E-10</v>
          </cell>
          <cell r="G21">
            <v>6.3601576075550474E-11</v>
          </cell>
          <cell r="H21">
            <v>5.7922708436740248E-10</v>
          </cell>
          <cell r="I21">
            <v>1.2031466728762197E-9</v>
          </cell>
          <cell r="J21">
            <v>1.1349905410927971E-12</v>
          </cell>
          <cell r="K21">
            <v>2.8013169449408218E-8</v>
          </cell>
          <cell r="L21">
            <v>1.9849153382948159E-8</v>
          </cell>
          <cell r="M21">
            <v>1.1865594419752642E-13</v>
          </cell>
          <cell r="N21">
            <v>2.6520782229579583E-9</v>
          </cell>
          <cell r="O21">
            <v>9.1280201075265318E-5</v>
          </cell>
          <cell r="P21">
            <v>2.1815781008080298E-6</v>
          </cell>
          <cell r="Q21">
            <v>2.7108573172813371E-6</v>
          </cell>
          <cell r="R21">
            <v>2.2622869023682998E-7</v>
          </cell>
          <cell r="S21">
            <v>1.0803650962912509E-7</v>
          </cell>
          <cell r="T21">
            <v>2.2764499221779344E-5</v>
          </cell>
          <cell r="U21">
            <v>1.1115681494988516E-7</v>
          </cell>
          <cell r="V21">
            <v>4.3611952999753085E-7</v>
          </cell>
          <cell r="W21">
            <v>1.8062472922938586</v>
          </cell>
          <cell r="X21">
            <v>4.2251223605615285E-2</v>
          </cell>
          <cell r="Y21">
            <v>3.3751164211148037E-7</v>
          </cell>
          <cell r="Z21">
            <v>1.1981857215673038E-4</v>
          </cell>
          <cell r="AA21">
            <v>1.848498518551553</v>
          </cell>
        </row>
      </sheetData>
      <sheetData sheetId="4">
        <row r="21">
          <cell r="C21">
            <v>5.9240090526703038E-2</v>
          </cell>
          <cell r="D21">
            <v>98.180762487623426</v>
          </cell>
          <cell r="E21">
            <v>0.46426196825745414</v>
          </cell>
          <cell r="F21">
            <v>0.60496125978395132</v>
          </cell>
          <cell r="G21">
            <v>50.752035262762597</v>
          </cell>
          <cell r="H21">
            <v>5.3113649866823636</v>
          </cell>
          <cell r="I21">
            <v>1.7964144750168079E-3</v>
          </cell>
          <cell r="J21">
            <v>6.6788692112393063E-4</v>
          </cell>
          <cell r="K21">
            <v>0.65722134364281071</v>
          </cell>
          <cell r="L21">
            <v>11.892521138124106</v>
          </cell>
          <cell r="M21">
            <v>26.667638722324341</v>
          </cell>
          <cell r="N21">
            <v>3.1591540366112709</v>
          </cell>
          <cell r="O21">
            <v>0.18265596292469566</v>
          </cell>
          <cell r="P21">
            <v>2.0349428493145704E-4</v>
          </cell>
          <cell r="Q21">
            <v>3.621297316729697E-2</v>
          </cell>
          <cell r="R21">
            <v>0.12208712230514712</v>
          </cell>
          <cell r="S21">
            <v>0.15389147145023696</v>
          </cell>
          <cell r="T21">
            <v>0.19645023873762654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3A9C-5B96-465D-8C2E-245770FF1927}">
  <dimension ref="A1:D20"/>
  <sheetViews>
    <sheetView workbookViewId="0">
      <selection activeCell="C10" sqref="C10"/>
    </sheetView>
  </sheetViews>
  <sheetFormatPr baseColWidth="10" defaultRowHeight="14.5" x14ac:dyDescent="0.35"/>
  <cols>
    <col min="1" max="1" width="103.26953125" bestFit="1" customWidth="1"/>
    <col min="2" max="2" width="31.54296875" customWidth="1"/>
    <col min="3" max="3" width="21.6328125" customWidth="1"/>
  </cols>
  <sheetData>
    <row r="1" spans="1:3" x14ac:dyDescent="0.35">
      <c r="A1" t="s">
        <v>34</v>
      </c>
    </row>
    <row r="2" spans="1:3" x14ac:dyDescent="0.35">
      <c r="A2" s="1" t="s">
        <v>0</v>
      </c>
      <c r="B2" s="1" t="s">
        <v>1</v>
      </c>
      <c r="C2" s="2" t="s">
        <v>33</v>
      </c>
    </row>
    <row r="3" spans="1:3" x14ac:dyDescent="0.35">
      <c r="A3" t="s">
        <v>2</v>
      </c>
      <c r="B3" t="s">
        <v>3</v>
      </c>
      <c r="C3" s="21">
        <v>40.980514742338137</v>
      </c>
    </row>
    <row r="4" spans="1:3" x14ac:dyDescent="0.35">
      <c r="A4" t="s">
        <v>4</v>
      </c>
      <c r="B4" t="s">
        <v>5</v>
      </c>
      <c r="C4" s="18">
        <v>7990.4076529529602</v>
      </c>
    </row>
    <row r="5" spans="1:3" x14ac:dyDescent="0.35">
      <c r="A5" t="s">
        <v>6</v>
      </c>
      <c r="B5" t="s">
        <v>7</v>
      </c>
      <c r="C5" s="18">
        <v>25.174703491092206</v>
      </c>
    </row>
    <row r="6" spans="1:3" x14ac:dyDescent="0.35">
      <c r="A6" t="s">
        <v>8</v>
      </c>
      <c r="B6" t="s">
        <v>7</v>
      </c>
      <c r="C6" s="18">
        <v>43.442842025376152</v>
      </c>
    </row>
    <row r="7" spans="1:3" x14ac:dyDescent="0.35">
      <c r="A7" t="s">
        <v>9</v>
      </c>
      <c r="B7" t="s">
        <v>7</v>
      </c>
      <c r="C7" s="18">
        <v>15200.310658799526</v>
      </c>
    </row>
    <row r="8" spans="1:3" x14ac:dyDescent="0.35">
      <c r="A8" s="3" t="s">
        <v>10</v>
      </c>
      <c r="B8" t="s">
        <v>11</v>
      </c>
      <c r="C8">
        <v>980.39215686274497</v>
      </c>
    </row>
    <row r="9" spans="1:3" x14ac:dyDescent="0.35">
      <c r="A9" t="s">
        <v>12</v>
      </c>
      <c r="B9" t="s">
        <v>13</v>
      </c>
      <c r="C9" s="24">
        <v>0.64988836189570243</v>
      </c>
    </row>
    <row r="10" spans="1:3" x14ac:dyDescent="0.35">
      <c r="A10" t="s">
        <v>14</v>
      </c>
      <c r="B10" t="s">
        <v>15</v>
      </c>
      <c r="C10" s="18">
        <v>4.6177855678795483</v>
      </c>
    </row>
    <row r="11" spans="1:3" x14ac:dyDescent="0.35">
      <c r="A11" t="s">
        <v>16</v>
      </c>
      <c r="B11" t="s">
        <v>7</v>
      </c>
      <c r="C11" s="18">
        <v>10.298306455189207</v>
      </c>
    </row>
    <row r="12" spans="1:3" x14ac:dyDescent="0.35">
      <c r="A12" t="s">
        <v>17</v>
      </c>
      <c r="B12" t="s">
        <v>7</v>
      </c>
      <c r="C12" s="19">
        <v>31251.842257731121</v>
      </c>
    </row>
    <row r="13" spans="1:3" x14ac:dyDescent="0.35">
      <c r="A13" t="s">
        <v>18</v>
      </c>
      <c r="B13" t="s">
        <v>19</v>
      </c>
      <c r="C13" s="18">
        <v>479.91735010391716</v>
      </c>
    </row>
    <row r="14" spans="1:3" x14ac:dyDescent="0.35">
      <c r="A14" t="s">
        <v>20</v>
      </c>
      <c r="B14" t="s">
        <v>21</v>
      </c>
      <c r="C14" s="23">
        <v>6167.4822789500304</v>
      </c>
    </row>
    <row r="15" spans="1:3" x14ac:dyDescent="0.35">
      <c r="A15" t="s">
        <v>22</v>
      </c>
      <c r="B15" t="s">
        <v>23</v>
      </c>
      <c r="C15" s="22">
        <v>120051.20954550793</v>
      </c>
    </row>
    <row r="16" spans="1:3" x14ac:dyDescent="0.35">
      <c r="A16" t="s">
        <v>24</v>
      </c>
      <c r="B16" t="s">
        <v>25</v>
      </c>
      <c r="C16" s="20">
        <v>6.0010004962240043E-2</v>
      </c>
    </row>
    <row r="17" spans="1:4" x14ac:dyDescent="0.35">
      <c r="A17" t="s">
        <v>26</v>
      </c>
      <c r="B17" t="s">
        <v>27</v>
      </c>
      <c r="C17" s="18">
        <v>25.569594920658865</v>
      </c>
      <c r="D17" s="1"/>
    </row>
    <row r="18" spans="1:4" x14ac:dyDescent="0.35">
      <c r="A18" t="s">
        <v>28</v>
      </c>
      <c r="B18" t="s">
        <v>29</v>
      </c>
      <c r="C18" s="18">
        <v>20.567456694737732</v>
      </c>
    </row>
    <row r="19" spans="1:4" x14ac:dyDescent="0.35">
      <c r="A19" t="s">
        <v>30</v>
      </c>
      <c r="B19" t="s">
        <v>29</v>
      </c>
      <c r="C19" s="18">
        <v>17.749328221367179</v>
      </c>
    </row>
    <row r="20" spans="1:4" x14ac:dyDescent="0.35">
      <c r="A20" t="s">
        <v>31</v>
      </c>
      <c r="B20" t="s">
        <v>32</v>
      </c>
      <c r="C20" s="22">
        <v>266.63926110882778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7BFB-B8AD-4665-9D26-2477D2E806C7}">
  <dimension ref="A2:C32"/>
  <sheetViews>
    <sheetView workbookViewId="0">
      <selection activeCell="A2" sqref="A2"/>
    </sheetView>
  </sheetViews>
  <sheetFormatPr baseColWidth="10" defaultRowHeight="14.5" x14ac:dyDescent="0.35"/>
  <cols>
    <col min="1" max="1" width="75.54296875" customWidth="1"/>
    <col min="2" max="2" width="27.81640625" bestFit="1" customWidth="1"/>
  </cols>
  <sheetData>
    <row r="2" spans="1:3" x14ac:dyDescent="0.35">
      <c r="A2" s="7" t="s">
        <v>35</v>
      </c>
      <c r="B2" t="s">
        <v>66</v>
      </c>
    </row>
    <row r="3" spans="1:3" x14ac:dyDescent="0.35">
      <c r="A3" s="8" t="s">
        <v>36</v>
      </c>
      <c r="B3" s="14" t="s">
        <v>62</v>
      </c>
      <c r="C3" s="19">
        <v>7.415098301940347E-3</v>
      </c>
    </row>
    <row r="4" spans="1:3" x14ac:dyDescent="0.35">
      <c r="A4" s="9" t="s">
        <v>37</v>
      </c>
      <c r="B4" s="14" t="s">
        <v>62</v>
      </c>
      <c r="C4" s="19">
        <v>3.1865312634949464E-5</v>
      </c>
    </row>
    <row r="5" spans="1:3" x14ac:dyDescent="0.35">
      <c r="A5" s="8" t="s">
        <v>38</v>
      </c>
      <c r="B5" s="14" t="s">
        <v>62</v>
      </c>
      <c r="C5" s="19">
        <v>4.0792974758832956E-6</v>
      </c>
    </row>
    <row r="6" spans="1:3" x14ac:dyDescent="0.35">
      <c r="A6" s="10" t="s">
        <v>39</v>
      </c>
      <c r="B6" s="14" t="s">
        <v>62</v>
      </c>
      <c r="C6" s="21">
        <v>1.6094840185912101E-2</v>
      </c>
    </row>
    <row r="7" spans="1:3" x14ac:dyDescent="0.35">
      <c r="A7" s="10" t="s">
        <v>40</v>
      </c>
      <c r="B7" s="14" t="s">
        <v>62</v>
      </c>
      <c r="C7" s="19">
        <v>1.8022733742761528E-5</v>
      </c>
    </row>
    <row r="8" spans="1:3" x14ac:dyDescent="0.35">
      <c r="A8" s="8" t="s">
        <v>41</v>
      </c>
      <c r="B8" s="14" t="s">
        <v>62</v>
      </c>
      <c r="C8" s="19">
        <v>3.4190377431228154E-5</v>
      </c>
    </row>
    <row r="9" spans="1:3" x14ac:dyDescent="0.35">
      <c r="A9" s="8" t="s">
        <v>42</v>
      </c>
      <c r="B9" s="14" t="s">
        <v>62</v>
      </c>
      <c r="C9" s="19">
        <v>2.0782475101391179E-4</v>
      </c>
    </row>
    <row r="10" spans="1:3" x14ac:dyDescent="0.35">
      <c r="A10" s="10" t="s">
        <v>43</v>
      </c>
      <c r="B10" s="14" t="s">
        <v>62</v>
      </c>
      <c r="C10" s="19">
        <v>1.9602786783350215E-4</v>
      </c>
    </row>
    <row r="11" spans="1:3" x14ac:dyDescent="0.35">
      <c r="A11" s="6"/>
      <c r="B11" s="14"/>
      <c r="C11" s="19"/>
    </row>
    <row r="12" spans="1:3" x14ac:dyDescent="0.35">
      <c r="A12" s="11" t="s">
        <v>44</v>
      </c>
      <c r="B12" s="14"/>
      <c r="C12" s="19"/>
    </row>
    <row r="13" spans="1:3" x14ac:dyDescent="0.35">
      <c r="A13" s="8" t="s">
        <v>45</v>
      </c>
      <c r="B13" s="14" t="s">
        <v>63</v>
      </c>
      <c r="C13" s="19">
        <v>2.2373141428268291E-5</v>
      </c>
    </row>
    <row r="14" spans="1:3" x14ac:dyDescent="0.35">
      <c r="A14" s="10" t="s">
        <v>46</v>
      </c>
      <c r="B14" s="14" t="s">
        <v>63</v>
      </c>
      <c r="C14" s="21">
        <v>2.2387617860080368E-6</v>
      </c>
    </row>
    <row r="15" spans="1:3" x14ac:dyDescent="0.35">
      <c r="A15" s="12" t="s">
        <v>47</v>
      </c>
      <c r="B15" s="14" t="s">
        <v>63</v>
      </c>
      <c r="C15" s="21">
        <v>8.4198919221923262E-6</v>
      </c>
    </row>
    <row r="16" spans="1:3" x14ac:dyDescent="0.35">
      <c r="A16" s="8" t="s">
        <v>48</v>
      </c>
      <c r="B16" s="14" t="s">
        <v>63</v>
      </c>
      <c r="C16" s="19">
        <v>8.188138758371857E-4</v>
      </c>
    </row>
    <row r="17" spans="1:3" x14ac:dyDescent="0.35">
      <c r="A17" s="10" t="s">
        <v>49</v>
      </c>
      <c r="B17" s="14" t="s">
        <v>63</v>
      </c>
      <c r="C17" s="19">
        <v>3.484366950773775E-6</v>
      </c>
    </row>
    <row r="18" spans="1:3" x14ac:dyDescent="0.35">
      <c r="A18" s="13" t="s">
        <v>50</v>
      </c>
      <c r="B18" s="15" t="s">
        <v>63</v>
      </c>
      <c r="C18" s="21">
        <v>6.2336285892586807E-4</v>
      </c>
    </row>
    <row r="19" spans="1:3" x14ac:dyDescent="0.35">
      <c r="A19" s="6"/>
      <c r="B19" s="14"/>
      <c r="C19" s="19"/>
    </row>
    <row r="20" spans="1:3" x14ac:dyDescent="0.35">
      <c r="A20" s="11" t="s">
        <v>51</v>
      </c>
      <c r="B20" s="14"/>
      <c r="C20" s="19"/>
    </row>
    <row r="21" spans="1:3" x14ac:dyDescent="0.35">
      <c r="A21" s="8" t="s">
        <v>52</v>
      </c>
      <c r="B21" s="14" t="s">
        <v>63</v>
      </c>
      <c r="C21" s="19">
        <v>6.112661854509017E-10</v>
      </c>
    </row>
    <row r="22" spans="1:3" x14ac:dyDescent="0.35">
      <c r="A22" s="12" t="s">
        <v>53</v>
      </c>
      <c r="B22" s="14" t="s">
        <v>63</v>
      </c>
      <c r="C22" s="21">
        <v>4.8963522257840747E-7</v>
      </c>
    </row>
    <row r="23" spans="1:3" x14ac:dyDescent="0.35">
      <c r="A23" s="8" t="s">
        <v>54</v>
      </c>
      <c r="B23" s="14" t="s">
        <v>63</v>
      </c>
      <c r="C23" s="19">
        <v>1.7496418926309127E-8</v>
      </c>
    </row>
    <row r="24" spans="1:3" x14ac:dyDescent="0.35">
      <c r="A24" s="10" t="s">
        <v>55</v>
      </c>
      <c r="B24" s="14" t="s">
        <v>63</v>
      </c>
      <c r="C24" s="19">
        <v>6.1571059952616243E-10</v>
      </c>
    </row>
    <row r="25" spans="1:3" x14ac:dyDescent="0.35">
      <c r="A25" s="10"/>
      <c r="B25" s="16"/>
      <c r="C25" s="19"/>
    </row>
    <row r="26" spans="1:3" x14ac:dyDescent="0.35">
      <c r="A26" s="11" t="s">
        <v>56</v>
      </c>
      <c r="B26" s="14"/>
      <c r="C26" s="19"/>
    </row>
    <row r="27" spans="1:3" x14ac:dyDescent="0.35">
      <c r="A27" s="8" t="s">
        <v>57</v>
      </c>
      <c r="B27" s="14" t="s">
        <v>63</v>
      </c>
      <c r="C27" s="19">
        <v>4.561498412664492E-9</v>
      </c>
    </row>
    <row r="28" spans="1:3" x14ac:dyDescent="0.35">
      <c r="A28" s="10" t="s">
        <v>58</v>
      </c>
      <c r="B28" s="14" t="s">
        <v>64</v>
      </c>
      <c r="C28" s="21">
        <v>6.123435058773402E-9</v>
      </c>
    </row>
    <row r="29" spans="1:3" x14ac:dyDescent="0.35">
      <c r="A29" s="6"/>
      <c r="B29" s="14"/>
      <c r="C29" s="19"/>
    </row>
    <row r="30" spans="1:3" x14ac:dyDescent="0.35">
      <c r="A30" s="11" t="s">
        <v>59</v>
      </c>
      <c r="B30" s="14"/>
      <c r="C30" s="19"/>
    </row>
    <row r="31" spans="1:3" x14ac:dyDescent="0.35">
      <c r="A31" s="10" t="s">
        <v>60</v>
      </c>
      <c r="B31" s="14" t="s">
        <v>65</v>
      </c>
      <c r="C31" s="19">
        <v>27741.958321377344</v>
      </c>
    </row>
    <row r="32" spans="1:3" x14ac:dyDescent="0.35">
      <c r="A32" s="10" t="s">
        <v>61</v>
      </c>
      <c r="B32" s="14" t="s">
        <v>65</v>
      </c>
      <c r="C32" s="21">
        <v>291.35213967771415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B2DE-3D97-4B0C-8985-D2DB83963FC3}">
  <dimension ref="A1:T20"/>
  <sheetViews>
    <sheetView topLeftCell="A2" workbookViewId="0">
      <selection activeCell="C2" sqref="C2:T2"/>
    </sheetView>
  </sheetViews>
  <sheetFormatPr baseColWidth="10" defaultRowHeight="14.5" x14ac:dyDescent="0.35"/>
  <cols>
    <col min="1" max="1" width="106.1796875" bestFit="1" customWidth="1"/>
    <col min="2" max="2" width="18.1796875" customWidth="1"/>
    <col min="3" max="3" width="27.453125" style="17" customWidth="1"/>
    <col min="4" max="4" width="20.08984375" customWidth="1"/>
    <col min="5" max="5" width="18.1796875" customWidth="1"/>
    <col min="6" max="6" width="18.54296875" customWidth="1"/>
    <col min="7" max="7" width="18" customWidth="1"/>
    <col min="8" max="8" width="17.6328125" customWidth="1"/>
    <col min="9" max="9" width="21.90625" customWidth="1"/>
    <col min="10" max="11" width="21.90625" style="17" customWidth="1"/>
    <col min="15" max="15" width="13.54296875" customWidth="1"/>
    <col min="16" max="17" width="13.54296875" style="17" customWidth="1"/>
  </cols>
  <sheetData>
    <row r="1" spans="1:20" s="17" customFormat="1" x14ac:dyDescent="0.35"/>
    <row r="2" spans="1:20" x14ac:dyDescent="0.35">
      <c r="C2" s="17" t="s">
        <v>72</v>
      </c>
      <c r="D2" s="17" t="s">
        <v>67</v>
      </c>
      <c r="E2" s="17" t="s">
        <v>68</v>
      </c>
      <c r="F2" s="17" t="s">
        <v>69</v>
      </c>
      <c r="G2" s="17" t="s">
        <v>97</v>
      </c>
      <c r="H2" s="17" t="s">
        <v>71</v>
      </c>
      <c r="I2" t="s">
        <v>76</v>
      </c>
      <c r="J2" s="17" t="s">
        <v>77</v>
      </c>
      <c r="K2" s="17" t="s">
        <v>78</v>
      </c>
      <c r="L2" t="s">
        <v>73</v>
      </c>
      <c r="M2" t="s">
        <v>74</v>
      </c>
      <c r="N2" t="s">
        <v>75</v>
      </c>
      <c r="O2" t="s">
        <v>80</v>
      </c>
      <c r="P2" s="17" t="s">
        <v>81</v>
      </c>
      <c r="Q2" s="17" t="s">
        <v>82</v>
      </c>
      <c r="R2" t="s">
        <v>79</v>
      </c>
      <c r="S2" t="s">
        <v>83</v>
      </c>
      <c r="T2" t="s">
        <v>84</v>
      </c>
    </row>
    <row r="3" spans="1:20" x14ac:dyDescent="0.35">
      <c r="A3" s="17" t="s">
        <v>2</v>
      </c>
      <c r="B3" s="17" t="s">
        <v>3</v>
      </c>
      <c r="C3" s="17">
        <v>4.3145162626997491E-4</v>
      </c>
      <c r="D3" s="17">
        <v>1.3638560111876475E-4</v>
      </c>
      <c r="G3" s="17">
        <f>[1]AD_a_mid!$C$21</f>
        <v>5.9240090526703038E-2</v>
      </c>
    </row>
    <row r="4" spans="1:20" x14ac:dyDescent="0.35">
      <c r="A4" s="17" t="s">
        <v>4</v>
      </c>
      <c r="B4" s="17" t="s">
        <v>5</v>
      </c>
      <c r="C4" s="17">
        <v>0.23956961286125605</v>
      </c>
      <c r="D4" s="17">
        <v>4.098082787843485E-2</v>
      </c>
      <c r="G4" s="17">
        <f>[1]AD_a_mid!$D$21</f>
        <v>98.180762487623426</v>
      </c>
    </row>
    <row r="5" spans="1:20" x14ac:dyDescent="0.35">
      <c r="A5" s="17" t="s">
        <v>6</v>
      </c>
      <c r="B5" s="17" t="s">
        <v>7</v>
      </c>
      <c r="C5" s="17">
        <v>5.3844127217322789E-3</v>
      </c>
      <c r="D5" s="17">
        <v>6.7876314096602264E-3</v>
      </c>
      <c r="G5" s="17">
        <f>[1]AD_a_mid!$E$21</f>
        <v>0.46426196825745414</v>
      </c>
    </row>
    <row r="6" spans="1:20" x14ac:dyDescent="0.35">
      <c r="A6" s="17" t="s">
        <v>8</v>
      </c>
      <c r="B6" s="17" t="s">
        <v>7</v>
      </c>
      <c r="C6" s="17">
        <v>9.392823722277982E-3</v>
      </c>
      <c r="D6" s="17">
        <v>9.0687991521913956E-3</v>
      </c>
      <c r="G6" s="17">
        <f>[1]AD_a_mid!$F$21</f>
        <v>0.60496125978395132</v>
      </c>
    </row>
    <row r="7" spans="1:20" x14ac:dyDescent="0.35">
      <c r="A7" s="17" t="s">
        <v>9</v>
      </c>
      <c r="B7" s="17" t="s">
        <v>7</v>
      </c>
      <c r="C7" s="17">
        <v>3.8430238919445214</v>
      </c>
      <c r="D7" s="17">
        <v>9.3690770693958952E-2</v>
      </c>
      <c r="G7" s="17">
        <f>[1]AD_a_mid!$G$21</f>
        <v>50.752035262762597</v>
      </c>
    </row>
    <row r="8" spans="1:20" x14ac:dyDescent="0.35">
      <c r="A8" s="3" t="s">
        <v>10</v>
      </c>
      <c r="B8" s="17" t="s">
        <v>11</v>
      </c>
      <c r="C8" s="17">
        <v>7.4670616139266954E-2</v>
      </c>
      <c r="D8" s="17">
        <v>5.7803421889681189E-3</v>
      </c>
      <c r="G8" s="17">
        <f>[1]AD_a_mid!$H$21</f>
        <v>5.3113649866823636</v>
      </c>
    </row>
    <row r="9" spans="1:20" x14ac:dyDescent="0.35">
      <c r="A9" s="17" t="s">
        <v>12</v>
      </c>
      <c r="B9" s="17" t="s">
        <v>13</v>
      </c>
      <c r="C9" s="17">
        <v>1.6173251964333264E-5</v>
      </c>
      <c r="D9" s="17">
        <v>4.8682720550073593E-5</v>
      </c>
      <c r="G9" s="17">
        <f>[1]AD_a_mid!$I$21</f>
        <v>1.7964144750168079E-3</v>
      </c>
    </row>
    <row r="10" spans="1:20" x14ac:dyDescent="0.35">
      <c r="A10" s="17" t="s">
        <v>14</v>
      </c>
      <c r="B10" s="17" t="s">
        <v>15</v>
      </c>
      <c r="C10" s="17">
        <v>6.6164617467460082E-6</v>
      </c>
      <c r="D10" s="17">
        <v>1.2084723600595509E-5</v>
      </c>
      <c r="G10" s="17">
        <f>[1]AD_a_mid!$J$21</f>
        <v>6.6788692112393063E-4</v>
      </c>
    </row>
    <row r="11" spans="1:20" x14ac:dyDescent="0.35">
      <c r="A11" s="17" t="s">
        <v>16</v>
      </c>
      <c r="B11" s="17" t="s">
        <v>7</v>
      </c>
      <c r="C11" s="17">
        <v>1.136275335256186E-2</v>
      </c>
      <c r="D11" s="17">
        <v>1.0550694882984955E-2</v>
      </c>
      <c r="G11" s="17">
        <f>[1]AD_a_mid!$K$21</f>
        <v>0.65722134364281071</v>
      </c>
    </row>
    <row r="12" spans="1:20" x14ac:dyDescent="0.35">
      <c r="A12" s="17" t="s">
        <v>17</v>
      </c>
      <c r="B12" s="17" t="s">
        <v>7</v>
      </c>
      <c r="C12" s="17">
        <v>0.16878473875107375</v>
      </c>
      <c r="D12" s="17">
        <v>0.30316585745433439</v>
      </c>
      <c r="G12" s="17">
        <f>[1]AD_a_mid!$L$21</f>
        <v>11.892521138124106</v>
      </c>
    </row>
    <row r="13" spans="1:20" x14ac:dyDescent="0.35">
      <c r="A13" s="17" t="s">
        <v>18</v>
      </c>
      <c r="B13" s="17" t="s">
        <v>19</v>
      </c>
      <c r="C13" s="17">
        <v>4.6615410622752179E-3</v>
      </c>
      <c r="D13" s="17">
        <v>3.8257425348874502E-4</v>
      </c>
      <c r="G13" s="17">
        <f>[1]AD_a_mid!$M$21</f>
        <v>26.667638722324341</v>
      </c>
    </row>
    <row r="14" spans="1:20" x14ac:dyDescent="0.35">
      <c r="A14" s="17" t="s">
        <v>20</v>
      </c>
      <c r="B14" s="17" t="s">
        <v>21</v>
      </c>
      <c r="C14" s="17">
        <v>7.6774497470649111E-3</v>
      </c>
      <c r="D14" s="17">
        <v>7.9287042669731289E-4</v>
      </c>
      <c r="G14" s="17">
        <f>[1]AD_a_mid!$N$21</f>
        <v>3.1591540366112709</v>
      </c>
    </row>
    <row r="15" spans="1:20" x14ac:dyDescent="0.35">
      <c r="A15" s="17" t="s">
        <v>22</v>
      </c>
      <c r="B15" s="17" t="s">
        <v>23</v>
      </c>
      <c r="C15" s="17">
        <v>4.317677805402818E-3</v>
      </c>
      <c r="D15" s="17">
        <v>1.1589877105097764E-3</v>
      </c>
      <c r="G15" s="17">
        <f>[1]AD_a_mid!$O$21</f>
        <v>0.18265596292469566</v>
      </c>
    </row>
    <row r="16" spans="1:20" x14ac:dyDescent="0.35">
      <c r="A16" s="17" t="s">
        <v>24</v>
      </c>
      <c r="B16" s="17" t="s">
        <v>25</v>
      </c>
      <c r="C16" s="17">
        <v>1.243948298850677E-7</v>
      </c>
      <c r="D16" s="17">
        <v>5.7786311798284191E-7</v>
      </c>
      <c r="G16" s="17">
        <f>[1]AD_a_mid!$P$21</f>
        <v>2.0349428493145704E-4</v>
      </c>
    </row>
    <row r="17" spans="1:7" x14ac:dyDescent="0.35">
      <c r="A17" s="17" t="s">
        <v>26</v>
      </c>
      <c r="B17" s="17" t="s">
        <v>27</v>
      </c>
      <c r="C17" s="17">
        <v>1.9316680703456587E-4</v>
      </c>
      <c r="D17" s="17">
        <v>5.4055787032507067E-5</v>
      </c>
      <c r="G17" s="17">
        <f>[1]AD_a_mid!$Q$21</f>
        <v>3.621297316729697E-2</v>
      </c>
    </row>
    <row r="18" spans="1:7" x14ac:dyDescent="0.35">
      <c r="A18" s="17" t="s">
        <v>28</v>
      </c>
      <c r="B18" s="17" t="s">
        <v>29</v>
      </c>
      <c r="C18" s="17">
        <v>6.8868282296046153E-4</v>
      </c>
      <c r="D18" s="17">
        <v>2.5789436037602508E-4</v>
      </c>
      <c r="G18" s="17">
        <f>[1]AD_a_mid!$R$21</f>
        <v>0.12208712230514712</v>
      </c>
    </row>
    <row r="19" spans="1:7" x14ac:dyDescent="0.35">
      <c r="A19" s="17" t="s">
        <v>30</v>
      </c>
      <c r="B19" s="17" t="s">
        <v>29</v>
      </c>
      <c r="C19" s="17">
        <v>7.3751731455667729E-4</v>
      </c>
      <c r="D19" s="17">
        <v>2.608912548664086E-4</v>
      </c>
      <c r="G19" s="17">
        <f>[1]AD_a_mid!$S$21</f>
        <v>0.15389147145023696</v>
      </c>
    </row>
    <row r="20" spans="1:7" x14ac:dyDescent="0.35">
      <c r="A20" s="17" t="s">
        <v>31</v>
      </c>
      <c r="B20" s="17" t="s">
        <v>32</v>
      </c>
      <c r="C20" s="17">
        <v>3.7267750639486145E-4</v>
      </c>
      <c r="D20" s="17">
        <v>1.8198870893823733E-3</v>
      </c>
      <c r="G20">
        <f>[1]AD_a_mid!$T$21</f>
        <v>0.19645023873762654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99129-0B2E-4367-A8C8-8060FE49A1C1}">
  <dimension ref="A1:T26"/>
  <sheetViews>
    <sheetView topLeftCell="B1" workbookViewId="0">
      <selection activeCell="G1" sqref="G1"/>
    </sheetView>
  </sheetViews>
  <sheetFormatPr baseColWidth="10" defaultRowHeight="14.5" x14ac:dyDescent="0.35"/>
  <cols>
    <col min="1" max="1" width="65.08984375" bestFit="1" customWidth="1"/>
    <col min="7" max="7" width="18.54296875" customWidth="1"/>
  </cols>
  <sheetData>
    <row r="1" spans="1:20" x14ac:dyDescent="0.35">
      <c r="B1" t="s">
        <v>66</v>
      </c>
      <c r="C1" s="17" t="s">
        <v>72</v>
      </c>
      <c r="D1" s="17" t="s">
        <v>67</v>
      </c>
      <c r="E1" s="17" t="s">
        <v>68</v>
      </c>
      <c r="F1" s="17" t="s">
        <v>69</v>
      </c>
      <c r="G1" s="17" t="s">
        <v>97</v>
      </c>
      <c r="H1" s="17" t="s">
        <v>71</v>
      </c>
      <c r="I1" s="17" t="s">
        <v>76</v>
      </c>
      <c r="J1" s="17" t="s">
        <v>77</v>
      </c>
      <c r="K1" s="17" t="s">
        <v>78</v>
      </c>
      <c r="L1" s="17" t="s">
        <v>73</v>
      </c>
      <c r="M1" s="17" t="s">
        <v>74</v>
      </c>
      <c r="N1" s="17" t="s">
        <v>75</v>
      </c>
      <c r="O1" s="17" t="s">
        <v>80</v>
      </c>
      <c r="P1" s="17" t="s">
        <v>81</v>
      </c>
      <c r="Q1" s="17" t="s">
        <v>82</v>
      </c>
      <c r="R1" s="17" t="s">
        <v>79</v>
      </c>
      <c r="S1" s="17" t="s">
        <v>83</v>
      </c>
      <c r="T1" s="17" t="s">
        <v>84</v>
      </c>
    </row>
    <row r="2" spans="1:20" x14ac:dyDescent="0.35">
      <c r="A2" s="17" t="s">
        <v>98</v>
      </c>
      <c r="B2" s="17" t="s">
        <v>122</v>
      </c>
      <c r="G2" s="4">
        <f>[1]AD_a_end!$C$21</f>
        <v>1.2563005899482752E-8</v>
      </c>
    </row>
    <row r="3" spans="1:20" x14ac:dyDescent="0.35">
      <c r="A3" s="17" t="s">
        <v>99</v>
      </c>
      <c r="B3" s="17" t="s">
        <v>122</v>
      </c>
      <c r="G3" s="4">
        <f>[1]AD_a_end!$D$21</f>
        <v>7.508434002465424E-12</v>
      </c>
    </row>
    <row r="4" spans="1:20" x14ac:dyDescent="0.35">
      <c r="A4" s="17" t="s">
        <v>100</v>
      </c>
      <c r="B4" s="17" t="s">
        <v>122</v>
      </c>
      <c r="G4" s="4">
        <f>[1]AD_a_end!$E$21</f>
        <v>2.7491055024070358E-7</v>
      </c>
    </row>
    <row r="5" spans="1:20" x14ac:dyDescent="0.35">
      <c r="A5" s="17" t="s">
        <v>101</v>
      </c>
      <c r="B5" s="17" t="s">
        <v>122</v>
      </c>
      <c r="G5" s="4">
        <f>[1]AD_a_end!$F$21</f>
        <v>3.2127854164427263E-10</v>
      </c>
    </row>
    <row r="6" spans="1:20" x14ac:dyDescent="0.35">
      <c r="A6" s="17" t="s">
        <v>102</v>
      </c>
      <c r="B6" s="17" t="s">
        <v>122</v>
      </c>
      <c r="G6" s="4">
        <f>[1]AD_a_end!$G$21</f>
        <v>6.3601576075550474E-11</v>
      </c>
    </row>
    <row r="7" spans="1:20" x14ac:dyDescent="0.35">
      <c r="A7" s="17" t="s">
        <v>103</v>
      </c>
      <c r="B7" s="17" t="s">
        <v>122</v>
      </c>
      <c r="G7" s="4">
        <f>[1]AD_a_end!$H$21</f>
        <v>5.7922708436740248E-10</v>
      </c>
    </row>
    <row r="8" spans="1:20" x14ac:dyDescent="0.35">
      <c r="A8" s="17" t="s">
        <v>104</v>
      </c>
      <c r="B8" s="17" t="s">
        <v>122</v>
      </c>
      <c r="G8" s="4">
        <f>[1]AD_a_end!$I$21</f>
        <v>1.2031466728762197E-9</v>
      </c>
    </row>
    <row r="9" spans="1:20" x14ac:dyDescent="0.35">
      <c r="A9" s="17" t="s">
        <v>105</v>
      </c>
      <c r="B9" s="17" t="s">
        <v>122</v>
      </c>
      <c r="G9" s="4">
        <f>[1]AD_a_end!$J$21</f>
        <v>1.1349905410927971E-12</v>
      </c>
    </row>
    <row r="10" spans="1:20" x14ac:dyDescent="0.35">
      <c r="A10" s="17" t="s">
        <v>106</v>
      </c>
      <c r="B10" s="17" t="s">
        <v>122</v>
      </c>
      <c r="G10" s="4">
        <f>[1]AD_a_end!$K$21</f>
        <v>2.8013169449408218E-8</v>
      </c>
    </row>
    <row r="11" spans="1:20" x14ac:dyDescent="0.35">
      <c r="A11" s="17" t="s">
        <v>107</v>
      </c>
      <c r="B11" s="17" t="s">
        <v>122</v>
      </c>
      <c r="G11" s="4">
        <f>[1]AD_a_end!$L$21</f>
        <v>1.9849153382948159E-8</v>
      </c>
    </row>
    <row r="12" spans="1:20" x14ac:dyDescent="0.35">
      <c r="A12" s="17" t="s">
        <v>108</v>
      </c>
      <c r="B12" s="17" t="s">
        <v>122</v>
      </c>
      <c r="G12" s="4">
        <f>[1]AD_a_end!$M$21</f>
        <v>1.1865594419752642E-13</v>
      </c>
    </row>
    <row r="13" spans="1:20" x14ac:dyDescent="0.35">
      <c r="A13" s="17" t="s">
        <v>109</v>
      </c>
      <c r="B13" s="17" t="s">
        <v>122</v>
      </c>
      <c r="G13" s="4">
        <f>[1]AD_a_end!$N$21</f>
        <v>2.6520782229579583E-9</v>
      </c>
    </row>
    <row r="14" spans="1:20" x14ac:dyDescent="0.35">
      <c r="A14" s="17" t="s">
        <v>110</v>
      </c>
      <c r="B14" s="17" t="s">
        <v>123</v>
      </c>
      <c r="G14" s="4">
        <f>[1]AD_a_end!$O$21</f>
        <v>9.1280201075265318E-5</v>
      </c>
    </row>
    <row r="15" spans="1:20" x14ac:dyDescent="0.35">
      <c r="A15" s="17" t="s">
        <v>111</v>
      </c>
      <c r="B15" s="17" t="s">
        <v>123</v>
      </c>
      <c r="G15" s="4">
        <f>[1]AD_a_end!$P$21</f>
        <v>2.1815781008080298E-6</v>
      </c>
    </row>
    <row r="16" spans="1:20" x14ac:dyDescent="0.35">
      <c r="A16" s="17" t="s">
        <v>112</v>
      </c>
      <c r="B16" s="17" t="s">
        <v>123</v>
      </c>
      <c r="G16" s="4">
        <f>[1]AD_a_end!$Q$21</f>
        <v>2.7108573172813371E-6</v>
      </c>
    </row>
    <row r="17" spans="1:7" x14ac:dyDescent="0.35">
      <c r="A17" s="17" t="s">
        <v>113</v>
      </c>
      <c r="B17" s="17" t="s">
        <v>123</v>
      </c>
      <c r="G17" s="4">
        <f>[1]AD_a_end!$R$21</f>
        <v>2.2622869023682998E-7</v>
      </c>
    </row>
    <row r="18" spans="1:7" x14ac:dyDescent="0.35">
      <c r="A18" s="17" t="s">
        <v>114</v>
      </c>
      <c r="B18" s="17" t="s">
        <v>123</v>
      </c>
      <c r="G18" s="4">
        <f>[1]AD_a_end!$S$21</f>
        <v>1.0803650962912509E-7</v>
      </c>
    </row>
    <row r="19" spans="1:7" x14ac:dyDescent="0.35">
      <c r="A19" s="17" t="s">
        <v>115</v>
      </c>
      <c r="B19" s="17" t="s">
        <v>123</v>
      </c>
      <c r="G19" s="4">
        <f>[1]AD_a_end!$T$21</f>
        <v>2.2764499221779344E-5</v>
      </c>
    </row>
    <row r="20" spans="1:7" x14ac:dyDescent="0.35">
      <c r="A20" s="17" t="s">
        <v>116</v>
      </c>
      <c r="B20" s="17" t="s">
        <v>123</v>
      </c>
      <c r="G20" s="4">
        <f>[1]AD_a_end!$U$21</f>
        <v>1.1115681494988516E-7</v>
      </c>
    </row>
    <row r="21" spans="1:7" x14ac:dyDescent="0.35">
      <c r="A21" s="17" t="s">
        <v>117</v>
      </c>
      <c r="B21" s="17" t="s">
        <v>123</v>
      </c>
      <c r="G21" s="4">
        <f>[1]AD_a_end!$V$21</f>
        <v>4.3611952999753085E-7</v>
      </c>
    </row>
    <row r="22" spans="1:7" x14ac:dyDescent="0.35">
      <c r="A22" s="17" t="s">
        <v>118</v>
      </c>
      <c r="B22" s="17" t="s">
        <v>124</v>
      </c>
      <c r="G22" s="4">
        <f>[1]AD_a_end!$W$21</f>
        <v>1.8062472922938586</v>
      </c>
    </row>
    <row r="23" spans="1:7" x14ac:dyDescent="0.35">
      <c r="A23" s="17" t="s">
        <v>119</v>
      </c>
      <c r="B23" s="17" t="s">
        <v>124</v>
      </c>
      <c r="G23" s="4">
        <f>[1]AD_a_end!$X$21</f>
        <v>4.2251223605615285E-2</v>
      </c>
    </row>
    <row r="24" spans="1:7" x14ac:dyDescent="0.35">
      <c r="A24" s="17" t="s">
        <v>120</v>
      </c>
      <c r="B24" s="17" t="s">
        <v>122</v>
      </c>
      <c r="G24" s="4">
        <f>[1]AD_a_end!$Y$21</f>
        <v>3.3751164211148037E-7</v>
      </c>
    </row>
    <row r="25" spans="1:7" x14ac:dyDescent="0.35">
      <c r="A25" s="17" t="s">
        <v>121</v>
      </c>
      <c r="B25" s="17" t="s">
        <v>123</v>
      </c>
      <c r="G25" s="4">
        <f>[1]AD_a_end!$Z$21</f>
        <v>1.1981857215673038E-4</v>
      </c>
    </row>
    <row r="26" spans="1:7" x14ac:dyDescent="0.35">
      <c r="B26" s="17" t="s">
        <v>124</v>
      </c>
      <c r="G26" s="4">
        <f>[1]AD_a_end!$AA$21</f>
        <v>1.848498518551553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6643-06D8-4ACA-BFE6-1D80E443FA19}">
  <dimension ref="A1:T22"/>
  <sheetViews>
    <sheetView workbookViewId="0">
      <selection activeCell="C5" sqref="C5"/>
    </sheetView>
  </sheetViews>
  <sheetFormatPr baseColWidth="10" defaultRowHeight="14.5" x14ac:dyDescent="0.35"/>
  <cols>
    <col min="1" max="1" width="106.1796875" bestFit="1" customWidth="1"/>
    <col min="3" max="3" width="27.453125" customWidth="1"/>
    <col min="4" max="4" width="26.453125" customWidth="1"/>
    <col min="6" max="6" width="16.54296875" customWidth="1"/>
    <col min="7" max="7" width="18.26953125" customWidth="1"/>
  </cols>
  <sheetData>
    <row r="1" spans="1:20" s="17" customFormat="1" x14ac:dyDescent="0.35"/>
    <row r="2" spans="1:20" x14ac:dyDescent="0.35">
      <c r="B2" t="s">
        <v>66</v>
      </c>
      <c r="C2" s="17" t="s">
        <v>72</v>
      </c>
      <c r="D2" s="17" t="s">
        <v>67</v>
      </c>
      <c r="E2" s="17" t="s">
        <v>69</v>
      </c>
      <c r="F2" s="17" t="s">
        <v>70</v>
      </c>
      <c r="G2" s="17" t="s">
        <v>71</v>
      </c>
      <c r="H2" s="17" t="s">
        <v>76</v>
      </c>
      <c r="I2" s="17" t="s">
        <v>77</v>
      </c>
      <c r="J2" s="17" t="s">
        <v>78</v>
      </c>
      <c r="K2" s="17" t="s">
        <v>73</v>
      </c>
      <c r="L2" s="17" t="s">
        <v>74</v>
      </c>
      <c r="M2" s="17" t="s">
        <v>75</v>
      </c>
      <c r="N2" s="17" t="s">
        <v>80</v>
      </c>
      <c r="O2" s="17" t="s">
        <v>81</v>
      </c>
      <c r="P2" s="17" t="s">
        <v>82</v>
      </c>
      <c r="Q2" s="17" t="s">
        <v>79</v>
      </c>
      <c r="R2" s="17" t="s">
        <v>83</v>
      </c>
      <c r="S2" s="17" t="s">
        <v>84</v>
      </c>
      <c r="T2" s="17"/>
    </row>
    <row r="3" spans="1:20" x14ac:dyDescent="0.35">
      <c r="A3" s="17" t="s">
        <v>2</v>
      </c>
      <c r="B3" t="s">
        <v>93</v>
      </c>
      <c r="C3" s="4">
        <f>impact_mid!C3/midpoint!$C3</f>
        <v>1.0528213932467519E-5</v>
      </c>
      <c r="D3" s="4">
        <f>impact_mid!D3/midpoint!$C3</f>
        <v>3.3280597370794101E-6</v>
      </c>
    </row>
    <row r="4" spans="1:20" x14ac:dyDescent="0.35">
      <c r="A4" s="17" t="s">
        <v>4</v>
      </c>
      <c r="B4" s="17" t="s">
        <v>93</v>
      </c>
      <c r="C4" s="4">
        <f>impact_mid!C4/midpoint!$C4</f>
        <v>2.9982151507967175E-5</v>
      </c>
      <c r="D4" s="4">
        <f>impact_mid!D4/midpoint!$C4</f>
        <v>5.1287530822397838E-6</v>
      </c>
    </row>
    <row r="5" spans="1:20" x14ac:dyDescent="0.35">
      <c r="A5" s="17" t="s">
        <v>6</v>
      </c>
      <c r="B5" s="17" t="s">
        <v>93</v>
      </c>
      <c r="C5" s="4">
        <f>impact_mid!C5/midpoint!$C5</f>
        <v>2.1388187247716719E-4</v>
      </c>
      <c r="D5" s="4">
        <f>impact_mid!D5/midpoint!$C5</f>
        <v>2.6962110644369479E-4</v>
      </c>
    </row>
    <row r="6" spans="1:20" x14ac:dyDescent="0.35">
      <c r="A6" s="17" t="s">
        <v>8</v>
      </c>
      <c r="B6" s="17" t="s">
        <v>93</v>
      </c>
      <c r="C6" s="4">
        <f>impact_mid!C6/midpoint!$C6</f>
        <v>2.1621107838182816E-4</v>
      </c>
      <c r="D6" s="4">
        <f>impact_mid!D6/midpoint!$C6</f>
        <v>2.0875243721149879E-4</v>
      </c>
    </row>
    <row r="7" spans="1:20" x14ac:dyDescent="0.35">
      <c r="A7" s="17" t="s">
        <v>9</v>
      </c>
      <c r="B7" s="17" t="s">
        <v>93</v>
      </c>
      <c r="C7" s="4">
        <f>impact_mid!C7/midpoint!$C7</f>
        <v>2.5282535194238141E-4</v>
      </c>
      <c r="D7" s="4">
        <f>impact_mid!D7/midpoint!$C7</f>
        <v>6.1637405180084896E-6</v>
      </c>
    </row>
    <row r="8" spans="1:20" x14ac:dyDescent="0.35">
      <c r="A8" s="3" t="s">
        <v>10</v>
      </c>
      <c r="B8" s="17" t="s">
        <v>93</v>
      </c>
      <c r="C8" s="4">
        <f>impact_mid!C8/midpoint!$C8</f>
        <v>7.6164028462052307E-5</v>
      </c>
      <c r="D8" s="4">
        <f>impact_mid!D8/midpoint!$C8</f>
        <v>5.8959490327474817E-6</v>
      </c>
    </row>
    <row r="9" spans="1:20" x14ac:dyDescent="0.35">
      <c r="A9" s="17" t="s">
        <v>12</v>
      </c>
      <c r="B9" s="17" t="s">
        <v>93</v>
      </c>
      <c r="C9" s="4">
        <f>impact_mid!C9/midpoint!$C9</f>
        <v>2.4886200327016835E-5</v>
      </c>
      <c r="D9" s="4">
        <f>impact_mid!D9/midpoint!$C9</f>
        <v>7.4909358905993857E-5</v>
      </c>
    </row>
    <row r="10" spans="1:20" x14ac:dyDescent="0.35">
      <c r="A10" s="17" t="s">
        <v>14</v>
      </c>
      <c r="B10" s="17" t="s">
        <v>93</v>
      </c>
      <c r="C10" s="4">
        <f>impact_mid!C10/midpoint!$C10</f>
        <v>1.4328213489965574E-6</v>
      </c>
      <c r="D10" s="4">
        <f>impact_mid!D10/midpoint!$C10</f>
        <v>2.6169954024402049E-6</v>
      </c>
    </row>
    <row r="11" spans="1:20" x14ac:dyDescent="0.35">
      <c r="A11" s="17" t="s">
        <v>16</v>
      </c>
      <c r="B11" s="17" t="s">
        <v>93</v>
      </c>
      <c r="C11" s="4">
        <f>impact_mid!C11/midpoint!$C11</f>
        <v>1.1033613538307834E-3</v>
      </c>
      <c r="D11" s="4">
        <f>impact_mid!D11/midpoint!$C11</f>
        <v>1.0245077604646899E-3</v>
      </c>
    </row>
    <row r="12" spans="1:20" x14ac:dyDescent="0.35">
      <c r="A12" s="17" t="s">
        <v>17</v>
      </c>
      <c r="B12" s="17" t="s">
        <v>93</v>
      </c>
      <c r="C12" s="4">
        <f>impact_mid!C12/midpoint!$C12</f>
        <v>5.4007932511344853E-6</v>
      </c>
      <c r="D12" s="4">
        <f>impact_mid!D12/midpoint!$C12</f>
        <v>9.7007355583761408E-6</v>
      </c>
    </row>
    <row r="13" spans="1:20" x14ac:dyDescent="0.35">
      <c r="A13" s="17" t="s">
        <v>18</v>
      </c>
      <c r="B13" s="17" t="s">
        <v>93</v>
      </c>
      <c r="C13" s="4">
        <f>impact_mid!C13/midpoint!$C13</f>
        <v>9.7132163720812509E-6</v>
      </c>
      <c r="D13" s="4">
        <f>impact_mid!D13/midpoint!$C13</f>
        <v>7.9716695678100764E-7</v>
      </c>
    </row>
    <row r="14" spans="1:20" x14ac:dyDescent="0.35">
      <c r="A14" s="17" t="s">
        <v>20</v>
      </c>
      <c r="B14" s="17" t="s">
        <v>93</v>
      </c>
      <c r="C14" s="4">
        <f>impact_mid!C14/midpoint!$C14</f>
        <v>1.2448272082221436E-6</v>
      </c>
      <c r="D14" s="4">
        <f>impact_mid!D14/midpoint!$C14</f>
        <v>1.2855657962786938E-7</v>
      </c>
    </row>
    <row r="15" spans="1:20" x14ac:dyDescent="0.35">
      <c r="A15" s="17" t="s">
        <v>22</v>
      </c>
      <c r="B15" s="17" t="s">
        <v>93</v>
      </c>
      <c r="C15" s="4">
        <f>impact_mid!C15/midpoint!$C15</f>
        <v>3.5965300322660321E-8</v>
      </c>
      <c r="D15" s="4">
        <f>impact_mid!D15/midpoint!$C15</f>
        <v>9.654111065581874E-9</v>
      </c>
    </row>
    <row r="16" spans="1:20" x14ac:dyDescent="0.35">
      <c r="A16" s="17" t="s">
        <v>24</v>
      </c>
      <c r="B16" s="17" t="s">
        <v>93</v>
      </c>
      <c r="C16" s="4">
        <f>impact_mid!C16/midpoint!$C16</f>
        <v>2.0729015097289256E-6</v>
      </c>
      <c r="D16" s="4">
        <f>impact_mid!D16/midpoint!$C16</f>
        <v>9.6294462622765884E-6</v>
      </c>
    </row>
    <row r="17" spans="1:4" x14ac:dyDescent="0.35">
      <c r="A17" s="17" t="s">
        <v>26</v>
      </c>
      <c r="B17" s="17" t="s">
        <v>93</v>
      </c>
      <c r="C17" s="4">
        <f>impact_mid!C17/midpoint!$C17</f>
        <v>7.554550927926411E-6</v>
      </c>
      <c r="D17" s="4">
        <f>impact_mid!D17/midpoint!$C17</f>
        <v>2.1140650526627187E-6</v>
      </c>
    </row>
    <row r="18" spans="1:4" x14ac:dyDescent="0.35">
      <c r="A18" s="17" t="s">
        <v>28</v>
      </c>
      <c r="B18" s="17" t="s">
        <v>93</v>
      </c>
      <c r="C18" s="4">
        <f>impact_mid!C18/midpoint!$C18</f>
        <v>3.3484102248610247E-5</v>
      </c>
      <c r="D18" s="4">
        <f>impact_mid!D18/midpoint!$C18</f>
        <v>1.2538952394731839E-5</v>
      </c>
    </row>
    <row r="19" spans="1:4" x14ac:dyDescent="0.35">
      <c r="A19" s="17" t="s">
        <v>30</v>
      </c>
      <c r="B19" s="17" t="s">
        <v>93</v>
      </c>
      <c r="C19" s="4">
        <f>impact_mid!C19/midpoint!$C19</f>
        <v>4.1551843842114073E-5</v>
      </c>
      <c r="D19" s="4">
        <f>impact_mid!D19/midpoint!$C19</f>
        <v>1.4698655161063493E-5</v>
      </c>
    </row>
    <row r="20" spans="1:4" x14ac:dyDescent="0.35">
      <c r="A20" s="17" t="s">
        <v>31</v>
      </c>
      <c r="B20" s="17" t="s">
        <v>93</v>
      </c>
      <c r="C20" s="4">
        <f>impact_mid!C20/midpoint!$C20</f>
        <v>1.397684290171936E-6</v>
      </c>
      <c r="D20" s="4">
        <f>impact_mid!D20/midpoint!$C20</f>
        <v>6.8252780247526765E-6</v>
      </c>
    </row>
    <row r="21" spans="1:4" x14ac:dyDescent="0.35">
      <c r="C21" s="5"/>
    </row>
    <row r="22" spans="1:4" x14ac:dyDescent="0.35">
      <c r="A22" t="s">
        <v>95</v>
      </c>
      <c r="C22" s="4">
        <f>SUM(C3:C20)</f>
        <v>2.0317289571609724E-3</v>
      </c>
      <c r="D22" s="4">
        <f>SUM(D3:D20)</f>
        <v>1.6573666708997305E-3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6D31-8BDD-4D92-9D87-0776BB19CCAF}">
  <dimension ref="A1:E2"/>
  <sheetViews>
    <sheetView workbookViewId="0">
      <selection activeCell="E2" sqref="E2"/>
    </sheetView>
  </sheetViews>
  <sheetFormatPr baseColWidth="10" defaultRowHeight="14.5" x14ac:dyDescent="0.35"/>
  <cols>
    <col min="1" max="1" width="41.1796875" customWidth="1"/>
    <col min="2" max="2" width="43.6328125" customWidth="1"/>
  </cols>
  <sheetData>
    <row r="1" spans="1:5" x14ac:dyDescent="0.35">
      <c r="B1" t="s">
        <v>88</v>
      </c>
      <c r="C1" t="s">
        <v>89</v>
      </c>
      <c r="D1" t="s">
        <v>90</v>
      </c>
      <c r="E1" t="s">
        <v>91</v>
      </c>
    </row>
    <row r="2" spans="1:5" x14ac:dyDescent="0.35">
      <c r="A2" s="17" t="s">
        <v>72</v>
      </c>
      <c r="B2" s="17" t="s">
        <v>85</v>
      </c>
      <c r="C2" s="17" t="s">
        <v>86</v>
      </c>
      <c r="D2" s="17" t="s">
        <v>87</v>
      </c>
      <c r="E2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1BDF-EBC1-4C31-9320-9F11669BA522}">
  <dimension ref="A1:B21"/>
  <sheetViews>
    <sheetView tabSelected="1" workbookViewId="0">
      <selection activeCell="B4" sqref="B4"/>
    </sheetView>
  </sheetViews>
  <sheetFormatPr baseColWidth="10" defaultRowHeight="14.5" x14ac:dyDescent="0.35"/>
  <cols>
    <col min="1" max="1" width="106.1796875" bestFit="1" customWidth="1"/>
    <col min="2" max="2" width="21.7265625" customWidth="1"/>
  </cols>
  <sheetData>
    <row r="1" spans="1:2" s="17" customFormat="1" x14ac:dyDescent="0.35"/>
    <row r="2" spans="1:2" x14ac:dyDescent="0.35">
      <c r="B2" t="s">
        <v>94</v>
      </c>
    </row>
    <row r="3" spans="1:2" x14ac:dyDescent="0.35">
      <c r="A3" s="17" t="s">
        <v>2</v>
      </c>
    </row>
    <row r="4" spans="1:2" x14ac:dyDescent="0.35">
      <c r="A4" s="17" t="s">
        <v>4</v>
      </c>
      <c r="B4" s="17">
        <v>0.8</v>
      </c>
    </row>
    <row r="5" spans="1:2" x14ac:dyDescent="0.35">
      <c r="A5" s="17" t="s">
        <v>6</v>
      </c>
      <c r="B5" s="17"/>
    </row>
    <row r="6" spans="1:2" x14ac:dyDescent="0.35">
      <c r="A6" s="17" t="s">
        <v>8</v>
      </c>
      <c r="B6" s="17"/>
    </row>
    <row r="7" spans="1:2" x14ac:dyDescent="0.35">
      <c r="A7" s="17" t="s">
        <v>9</v>
      </c>
      <c r="B7" s="17"/>
    </row>
    <row r="8" spans="1:2" x14ac:dyDescent="0.35">
      <c r="A8" s="3" t="s">
        <v>10</v>
      </c>
      <c r="B8" s="17"/>
    </row>
    <row r="9" spans="1:2" x14ac:dyDescent="0.35">
      <c r="A9" s="17" t="s">
        <v>12</v>
      </c>
      <c r="B9" s="17"/>
    </row>
    <row r="10" spans="1:2" x14ac:dyDescent="0.35">
      <c r="A10" s="17" t="s">
        <v>14</v>
      </c>
      <c r="B10" s="17"/>
    </row>
    <row r="11" spans="1:2" x14ac:dyDescent="0.35">
      <c r="A11" s="17" t="s">
        <v>16</v>
      </c>
      <c r="B11" s="17"/>
    </row>
    <row r="12" spans="1:2" x14ac:dyDescent="0.35">
      <c r="A12" s="17" t="s">
        <v>17</v>
      </c>
      <c r="B12" s="17"/>
    </row>
    <row r="13" spans="1:2" x14ac:dyDescent="0.35">
      <c r="A13" s="17" t="s">
        <v>18</v>
      </c>
      <c r="B13" s="17"/>
    </row>
    <row r="14" spans="1:2" x14ac:dyDescent="0.35">
      <c r="A14" s="17" t="s">
        <v>20</v>
      </c>
      <c r="B14" s="17">
        <v>0.2</v>
      </c>
    </row>
    <row r="15" spans="1:2" x14ac:dyDescent="0.35">
      <c r="A15" s="17" t="s">
        <v>22</v>
      </c>
      <c r="B15" s="17"/>
    </row>
    <row r="16" spans="1:2" x14ac:dyDescent="0.35">
      <c r="A16" s="17" t="s">
        <v>24</v>
      </c>
      <c r="B16" s="17"/>
    </row>
    <row r="17" spans="1:2" x14ac:dyDescent="0.35">
      <c r="A17" s="17" t="s">
        <v>26</v>
      </c>
      <c r="B17" s="17"/>
    </row>
    <row r="18" spans="1:2" x14ac:dyDescent="0.35">
      <c r="A18" s="17" t="s">
        <v>28</v>
      </c>
      <c r="B18" s="17"/>
    </row>
    <row r="19" spans="1:2" x14ac:dyDescent="0.35">
      <c r="A19" s="17" t="s">
        <v>30</v>
      </c>
      <c r="B19" s="17"/>
    </row>
    <row r="20" spans="1:2" x14ac:dyDescent="0.35">
      <c r="A20" s="17" t="s">
        <v>31</v>
      </c>
      <c r="B20" s="17"/>
    </row>
    <row r="21" spans="1:2" x14ac:dyDescent="0.35">
      <c r="B21" s="3">
        <f>SUM(B3:B20)</f>
        <v>1</v>
      </c>
    </row>
  </sheetData>
  <pageMargins left="0.7" right="0.7" top="0.75" bottom="0.75" header="0.3" footer="0.3"/>
  <pageSetup paperSize="9" orientation="portrait" verticalDpi="597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19C3-AE3E-42F0-9FEE-50EC0703AB02}">
  <dimension ref="A2:S22"/>
  <sheetViews>
    <sheetView workbookViewId="0">
      <selection activeCell="A3" sqref="A3:A20"/>
    </sheetView>
  </sheetViews>
  <sheetFormatPr baseColWidth="10" defaultRowHeight="14.5" x14ac:dyDescent="0.35"/>
  <cols>
    <col min="1" max="1" width="106.1796875" bestFit="1" customWidth="1"/>
    <col min="3" max="3" width="32.26953125" bestFit="1" customWidth="1"/>
    <col min="6" max="6" width="23.36328125" customWidth="1"/>
    <col min="7" max="7" width="23.90625" customWidth="1"/>
  </cols>
  <sheetData>
    <row r="2" spans="1:19" s="17" customFormat="1" x14ac:dyDescent="0.35">
      <c r="B2" s="17" t="s">
        <v>66</v>
      </c>
      <c r="C2" s="17" t="s">
        <v>72</v>
      </c>
      <c r="D2" s="17" t="s">
        <v>67</v>
      </c>
      <c r="E2" s="17" t="s">
        <v>69</v>
      </c>
      <c r="F2" s="17" t="s">
        <v>70</v>
      </c>
      <c r="G2" s="17" t="s">
        <v>71</v>
      </c>
      <c r="H2" s="17" t="s">
        <v>76</v>
      </c>
      <c r="I2" s="17" t="s">
        <v>77</v>
      </c>
      <c r="J2" s="17" t="s">
        <v>78</v>
      </c>
      <c r="K2" s="17" t="s">
        <v>73</v>
      </c>
      <c r="L2" s="17" t="s">
        <v>74</v>
      </c>
      <c r="M2" s="17" t="s">
        <v>75</v>
      </c>
      <c r="N2" s="17" t="s">
        <v>80</v>
      </c>
      <c r="O2" s="17" t="s">
        <v>81</v>
      </c>
      <c r="P2" s="17" t="s">
        <v>82</v>
      </c>
      <c r="Q2" s="17" t="s">
        <v>79</v>
      </c>
      <c r="R2" s="17" t="s">
        <v>83</v>
      </c>
      <c r="S2" s="17" t="s">
        <v>84</v>
      </c>
    </row>
    <row r="3" spans="1:19" x14ac:dyDescent="0.35">
      <c r="A3" s="17" t="s">
        <v>2</v>
      </c>
      <c r="B3" t="s">
        <v>96</v>
      </c>
      <c r="C3" s="4">
        <f>normalized_impact_mid!C3*weight_mid!$B3</f>
        <v>0</v>
      </c>
      <c r="D3" s="4">
        <f>normalized_impact_mid!D3*weight_mid!$B3</f>
        <v>0</v>
      </c>
    </row>
    <row r="4" spans="1:19" x14ac:dyDescent="0.35">
      <c r="A4" s="17" t="s">
        <v>4</v>
      </c>
      <c r="B4" s="17" t="s">
        <v>96</v>
      </c>
      <c r="C4" s="4">
        <f>normalized_impact_mid!C4*weight_mid!$B4</f>
        <v>2.398572120637374E-5</v>
      </c>
      <c r="D4" s="4">
        <f>normalized_impact_mid!D4*weight_mid!$B4</f>
        <v>4.103002465791827E-6</v>
      </c>
    </row>
    <row r="5" spans="1:19" x14ac:dyDescent="0.35">
      <c r="A5" s="17" t="s">
        <v>6</v>
      </c>
      <c r="B5" s="17" t="s">
        <v>96</v>
      </c>
      <c r="C5" s="4">
        <f>normalized_impact_mid!C5*weight_mid!$B5</f>
        <v>0</v>
      </c>
      <c r="D5" s="4">
        <f>normalized_impact_mid!D5*weight_mid!$B5</f>
        <v>0</v>
      </c>
    </row>
    <row r="6" spans="1:19" x14ac:dyDescent="0.35">
      <c r="A6" s="17" t="s">
        <v>8</v>
      </c>
      <c r="B6" s="17" t="s">
        <v>96</v>
      </c>
      <c r="C6" s="4">
        <f>normalized_impact_mid!C6*weight_mid!$B6</f>
        <v>0</v>
      </c>
      <c r="D6" s="4">
        <f>normalized_impact_mid!D6*weight_mid!$B6</f>
        <v>0</v>
      </c>
    </row>
    <row r="7" spans="1:19" x14ac:dyDescent="0.35">
      <c r="A7" s="17" t="s">
        <v>9</v>
      </c>
      <c r="B7" s="17" t="s">
        <v>96</v>
      </c>
      <c r="C7" s="4">
        <f>normalized_impact_mid!C7*weight_mid!$B7</f>
        <v>0</v>
      </c>
      <c r="D7" s="4">
        <f>normalized_impact_mid!D7*weight_mid!$B7</f>
        <v>0</v>
      </c>
    </row>
    <row r="8" spans="1:19" x14ac:dyDescent="0.35">
      <c r="A8" s="3" t="s">
        <v>10</v>
      </c>
      <c r="B8" s="17" t="s">
        <v>96</v>
      </c>
      <c r="C8" s="4">
        <f>normalized_impact_mid!C8*weight_mid!$B8</f>
        <v>0</v>
      </c>
      <c r="D8" s="4">
        <f>normalized_impact_mid!D8*weight_mid!$B8</f>
        <v>0</v>
      </c>
    </row>
    <row r="9" spans="1:19" x14ac:dyDescent="0.35">
      <c r="A9" s="17" t="s">
        <v>12</v>
      </c>
      <c r="B9" s="17" t="s">
        <v>96</v>
      </c>
      <c r="C9" s="4">
        <f>normalized_impact_mid!C9*weight_mid!$B9</f>
        <v>0</v>
      </c>
      <c r="D9" s="4">
        <f>normalized_impact_mid!D9*weight_mid!$B9</f>
        <v>0</v>
      </c>
    </row>
    <row r="10" spans="1:19" x14ac:dyDescent="0.35">
      <c r="A10" s="17" t="s">
        <v>14</v>
      </c>
      <c r="B10" s="17" t="s">
        <v>96</v>
      </c>
      <c r="C10" s="4">
        <f>normalized_impact_mid!C10*weight_mid!$B10</f>
        <v>0</v>
      </c>
      <c r="D10" s="4">
        <f>normalized_impact_mid!D10*weight_mid!$B10</f>
        <v>0</v>
      </c>
    </row>
    <row r="11" spans="1:19" x14ac:dyDescent="0.35">
      <c r="A11" s="17" t="s">
        <v>16</v>
      </c>
      <c r="B11" s="17" t="s">
        <v>96</v>
      </c>
      <c r="C11" s="4">
        <f>normalized_impact_mid!C11*weight_mid!$B11</f>
        <v>0</v>
      </c>
      <c r="D11" s="4">
        <f>normalized_impact_mid!D11*weight_mid!$B11</f>
        <v>0</v>
      </c>
    </row>
    <row r="12" spans="1:19" x14ac:dyDescent="0.35">
      <c r="A12" s="17" t="s">
        <v>17</v>
      </c>
      <c r="B12" s="17" t="s">
        <v>96</v>
      </c>
      <c r="C12" s="4">
        <f>normalized_impact_mid!C12*weight_mid!$B12</f>
        <v>0</v>
      </c>
      <c r="D12" s="4">
        <f>normalized_impact_mid!D12*weight_mid!$B12</f>
        <v>0</v>
      </c>
    </row>
    <row r="13" spans="1:19" x14ac:dyDescent="0.35">
      <c r="A13" s="17" t="s">
        <v>18</v>
      </c>
      <c r="B13" s="17" t="s">
        <v>96</v>
      </c>
      <c r="C13" s="4">
        <f>normalized_impact_mid!C13*weight_mid!$B13</f>
        <v>0</v>
      </c>
      <c r="D13" s="4">
        <f>normalized_impact_mid!D13*weight_mid!$B13</f>
        <v>0</v>
      </c>
    </row>
    <row r="14" spans="1:19" x14ac:dyDescent="0.35">
      <c r="A14" s="17" t="s">
        <v>20</v>
      </c>
      <c r="B14" s="17" t="s">
        <v>96</v>
      </c>
      <c r="C14" s="4">
        <f>normalized_impact_mid!C14*weight_mid!$B14</f>
        <v>2.4896544164442872E-7</v>
      </c>
      <c r="D14" s="4">
        <f>normalized_impact_mid!D14*weight_mid!$B14</f>
        <v>2.5711315925573878E-8</v>
      </c>
    </row>
    <row r="15" spans="1:19" x14ac:dyDescent="0.35">
      <c r="A15" s="17" t="s">
        <v>22</v>
      </c>
      <c r="B15" s="17" t="s">
        <v>96</v>
      </c>
      <c r="C15" s="4">
        <f>normalized_impact_mid!C15*weight_mid!$B15</f>
        <v>0</v>
      </c>
      <c r="D15" s="4">
        <f>normalized_impact_mid!D15*weight_mid!$B15</f>
        <v>0</v>
      </c>
    </row>
    <row r="16" spans="1:19" x14ac:dyDescent="0.35">
      <c r="A16" s="17" t="s">
        <v>24</v>
      </c>
      <c r="B16" s="17" t="s">
        <v>96</v>
      </c>
      <c r="C16" s="4">
        <f>normalized_impact_mid!C16*weight_mid!$B16</f>
        <v>0</v>
      </c>
      <c r="D16" s="4">
        <f>normalized_impact_mid!D16*weight_mid!$B16</f>
        <v>0</v>
      </c>
    </row>
    <row r="17" spans="1:5" x14ac:dyDescent="0.35">
      <c r="A17" s="17" t="s">
        <v>26</v>
      </c>
      <c r="B17" s="17" t="s">
        <v>96</v>
      </c>
      <c r="C17" s="4">
        <f>normalized_impact_mid!C17*weight_mid!$B17</f>
        <v>0</v>
      </c>
      <c r="D17" s="4">
        <f>normalized_impact_mid!D17*weight_mid!$B17</f>
        <v>0</v>
      </c>
    </row>
    <row r="18" spans="1:5" x14ac:dyDescent="0.35">
      <c r="A18" s="17" t="s">
        <v>28</v>
      </c>
      <c r="B18" s="17" t="s">
        <v>96</v>
      </c>
      <c r="C18" s="4">
        <f>normalized_impact_mid!C18*weight_mid!$B18</f>
        <v>0</v>
      </c>
      <c r="D18" s="4">
        <f>normalized_impact_mid!D18*weight_mid!$B18</f>
        <v>0</v>
      </c>
    </row>
    <row r="19" spans="1:5" x14ac:dyDescent="0.35">
      <c r="A19" s="17" t="s">
        <v>30</v>
      </c>
      <c r="B19" s="17" t="s">
        <v>96</v>
      </c>
      <c r="C19" s="4">
        <f>normalized_impact_mid!C19*weight_mid!$B19</f>
        <v>0</v>
      </c>
      <c r="D19" s="4">
        <f>normalized_impact_mid!D19*weight_mid!$B19</f>
        <v>0</v>
      </c>
    </row>
    <row r="20" spans="1:5" x14ac:dyDescent="0.35">
      <c r="A20" s="17" t="s">
        <v>31</v>
      </c>
      <c r="B20" s="17" t="s">
        <v>96</v>
      </c>
      <c r="C20" s="4">
        <f>normalized_impact_mid!C20*weight_mid!$B20</f>
        <v>0</v>
      </c>
      <c r="D20" s="4">
        <f>normalized_impact_mid!D20*weight_mid!$B20</f>
        <v>0</v>
      </c>
    </row>
    <row r="22" spans="1:5" x14ac:dyDescent="0.35">
      <c r="A22" t="s">
        <v>95</v>
      </c>
      <c r="C22" s="4">
        <f>SUM(C3:C20)</f>
        <v>2.4234686648018171E-5</v>
      </c>
      <c r="D22" s="4">
        <f>SUM(D3:D20)</f>
        <v>4.1287137817174012E-6</v>
      </c>
      <c r="E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midpoint</vt:lpstr>
      <vt:lpstr>endpoint</vt:lpstr>
      <vt:lpstr>impact_mid</vt:lpstr>
      <vt:lpstr>impact_end</vt:lpstr>
      <vt:lpstr>normalized_impact_mid</vt:lpstr>
      <vt:lpstr>readme</vt:lpstr>
      <vt:lpstr>weight_mid</vt:lpstr>
      <vt:lpstr>weighted_impact_mid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2025-06-12T10:23:47Z</dcterms:created>
  <dcterms:modified xsi:type="dcterms:W3CDTF">2025-07-15T08:45:37Z</dcterms:modified>
</cp:coreProperties>
</file>